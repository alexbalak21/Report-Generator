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DEV\Report-Generator\"/>
    </mc:Choice>
  </mc:AlternateContent>
  <xr:revisionPtr revIDLastSave="0" documentId="13_ncr:1_{24A8E615-B39C-4314-A838-AB02D39591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0" i="1" l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</calcChain>
</file>

<file path=xl/sharedStrings.xml><?xml version="1.0" encoding="utf-8"?>
<sst xmlns="http://schemas.openxmlformats.org/spreadsheetml/2006/main" count="429" uniqueCount="137">
  <si>
    <t>date rapport</t>
  </si>
  <si>
    <t>appellation produit</t>
  </si>
  <si>
    <t>nom entreprise client</t>
  </si>
  <si>
    <t>adresse entreprise client</t>
  </si>
  <si>
    <t>nom destinataire</t>
  </si>
  <si>
    <t>titre poste destinataire</t>
  </si>
  <si>
    <t>Lieu de prelevment</t>
  </si>
  <si>
    <t>date heure prelevment</t>
  </si>
  <si>
    <t>adresse prelevement</t>
  </si>
  <si>
    <t>ville prelevement</t>
  </si>
  <si>
    <t>conditions coservation reception</t>
  </si>
  <si>
    <t>date heure arrive labo</t>
  </si>
  <si>
    <t>temperature reception</t>
  </si>
  <si>
    <t>date heure mise en analyse</t>
  </si>
  <si>
    <t>fournisseur fabricant</t>
  </si>
  <si>
    <t>nom produit</t>
  </si>
  <si>
    <t>conditionnement</t>
  </si>
  <si>
    <t>espece</t>
  </si>
  <si>
    <t>agrement</t>
  </si>
  <si>
    <t>origine</t>
  </si>
  <si>
    <t>lot</t>
  </si>
  <si>
    <t>date emabalage</t>
  </si>
  <si>
    <t>code article</t>
  </si>
  <si>
    <t>dlc</t>
  </si>
  <si>
    <t>lot precice</t>
  </si>
  <si>
    <t>imp</t>
  </si>
  <si>
    <t>k value</t>
  </si>
  <si>
    <t>conformite</t>
  </si>
  <si>
    <t>qualite</t>
  </si>
  <si>
    <t>Thon frais naturel 3</t>
  </si>
  <si>
    <t>Comptoirs Océaniques</t>
  </si>
  <si>
    <t>7 rue Gustave Serruier, 76620 Le Havre</t>
  </si>
  <si>
    <t>Adeline Levasseur</t>
  </si>
  <si>
    <t>Directrice qualité</t>
  </si>
  <si>
    <t>Comptoir Océanique</t>
  </si>
  <si>
    <t>04/06/2026 12h</t>
  </si>
  <si>
    <t>10 Rue de Marengo</t>
  </si>
  <si>
    <t>Boulogne-sur-Mer</t>
  </si>
  <si>
    <t>4°C</t>
  </si>
  <si>
    <t>11/06/2026 14h</t>
  </si>
  <si>
    <t>BPE</t>
  </si>
  <si>
    <t>Thunnus albacares</t>
  </si>
  <si>
    <t>A</t>
  </si>
  <si>
    <t>100% thon</t>
  </si>
  <si>
    <t>big fish</t>
  </si>
  <si>
    <t>FAO 51</t>
  </si>
  <si>
    <t>1.8kg</t>
  </si>
  <si>
    <t>Extra</t>
  </si>
  <si>
    <t>dongwon</t>
  </si>
  <si>
    <t>FAO 71</t>
  </si>
  <si>
    <t>DW 2605</t>
  </si>
  <si>
    <t>Sashimi</t>
  </si>
  <si>
    <t>2kg</t>
  </si>
  <si>
    <t>A+</t>
  </si>
  <si>
    <t>shin hyun</t>
  </si>
  <si>
    <t>FAO 77</t>
  </si>
  <si>
    <t>SH 2518</t>
  </si>
  <si>
    <t>FAO 34</t>
  </si>
  <si>
    <t>1,77 kg</t>
  </si>
  <si>
    <t>ABP10A 153/ 26</t>
  </si>
  <si>
    <t>DW 2526</t>
  </si>
  <si>
    <t>2,05 kg</t>
  </si>
  <si>
    <t>SH 2601</t>
  </si>
  <si>
    <t>Extra+</t>
  </si>
  <si>
    <t>thon albacore 85%</t>
  </si>
  <si>
    <t>barba</t>
  </si>
  <si>
    <t>transformé en France</t>
  </si>
  <si>
    <t>FAO34</t>
  </si>
  <si>
    <t>DW 2522</t>
  </si>
  <si>
    <t>100% thon </t>
  </si>
  <si>
    <t>Global sea food</t>
  </si>
  <si>
    <t>FAO 57</t>
  </si>
  <si>
    <t>Marlu</t>
  </si>
  <si>
    <t>R369</t>
  </si>
  <si>
    <t>golden ocean </t>
  </si>
  <si>
    <t>EU 285 FAB 16203</t>
  </si>
  <si>
    <t>Thon frais naturel 1</t>
  </si>
  <si>
    <t>glace</t>
  </si>
  <si>
    <t>04/06/2026 12h15</t>
  </si>
  <si>
    <t>04/06/2026 14h</t>
  </si>
  <si>
    <t>Maldives FAO51</t>
  </si>
  <si>
    <t>conforme(s) au(x) critère(s)</t>
  </si>
  <si>
    <t>Thon décongelé 11</t>
  </si>
  <si>
    <t>Thon frais naturel 2</t>
  </si>
  <si>
    <t>Thon décongelé 12</t>
  </si>
  <si>
    <t xml:space="preserve"> Thon décongelé 13</t>
  </si>
  <si>
    <t>Thon frais naturel 4</t>
  </si>
  <si>
    <t>Golden Ocean</t>
  </si>
  <si>
    <t>05/06/2026 12H</t>
  </si>
  <si>
    <t>11/06/2026 12h</t>
  </si>
  <si>
    <t>12/06/2026 12H</t>
  </si>
  <si>
    <t>04/02/2026 12H</t>
  </si>
  <si>
    <t xml:space="preserve"> Thon décongelé 14</t>
  </si>
  <si>
    <t xml:space="preserve">MP  FAB 16200 </t>
  </si>
  <si>
    <t>Longe de thon décongelé</t>
  </si>
  <si>
    <t>Thon frais saumuré 21</t>
  </si>
  <si>
    <t>Thon frais saumuré 22</t>
  </si>
  <si>
    <t>Thon  décongelé 15</t>
  </si>
  <si>
    <t xml:space="preserve"> Thon décongelé 16</t>
  </si>
  <si>
    <t>Thon frais naturel 5</t>
  </si>
  <si>
    <t>frais naturel 7</t>
  </si>
  <si>
    <t>Thon frais naturel 6</t>
  </si>
  <si>
    <t>Thon frais naturel 8</t>
  </si>
  <si>
    <t>Thon décongelé 17</t>
  </si>
  <si>
    <t>Thon décongelé 18</t>
  </si>
  <si>
    <t>17/06/2026 14h</t>
  </si>
  <si>
    <t>18/06/2026 12H</t>
  </si>
  <si>
    <t>25/06/26 16H</t>
  </si>
  <si>
    <t>26/06/26 14H</t>
  </si>
  <si>
    <t>05/06/2026 12H15</t>
  </si>
  <si>
    <t>11/06/2026 12h15</t>
  </si>
  <si>
    <t>12/06/2026 12H15</t>
  </si>
  <si>
    <t>04/02/2026 12H15</t>
  </si>
  <si>
    <t>17/06/2026 14h15</t>
  </si>
  <si>
    <t>18/06/2026 12H15</t>
  </si>
  <si>
    <t>25/06/26 16H15</t>
  </si>
  <si>
    <t>26/06/26 14H15</t>
  </si>
  <si>
    <t>05/06/2026 14h</t>
  </si>
  <si>
    <t>12/06/2026 14h</t>
  </si>
  <si>
    <t>04/02/2026 14h</t>
  </si>
  <si>
    <t>17/06/2026 16h</t>
  </si>
  <si>
    <t>18/06/2026 14h</t>
  </si>
  <si>
    <t>25/06/26 17h</t>
  </si>
  <si>
    <t>26/06/26 15h</t>
  </si>
  <si>
    <t>Corée FAO71</t>
  </si>
  <si>
    <t>Corée FAO77</t>
  </si>
  <si>
    <t>Cote d'ivoire FAO34</t>
  </si>
  <si>
    <t>Corée FAO51</t>
  </si>
  <si>
    <t>Sri Lanka FAO57</t>
  </si>
  <si>
    <t>Seychelles FAO51</t>
  </si>
  <si>
    <t>Fidji FAO71</t>
  </si>
  <si>
    <t>1,18kg</t>
  </si>
  <si>
    <t>2,29kg</t>
  </si>
  <si>
    <t>1,19kg</t>
  </si>
  <si>
    <t>2,58kg</t>
  </si>
  <si>
    <t>numero rapport</t>
  </si>
  <si>
    <t>nom rapport generé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</si>
</sst>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C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222222"/>
      <name val="Arial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CC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horizontal="right" vertical="center"/>
    </xf>
    <xf numFmtId="14" fontId="7" fillId="2" borderId="1" xfId="0" applyNumberFormat="1" applyFont="1" applyFill="1" applyBorder="1" applyAlignment="1">
      <alignment vertical="center"/>
    </xf>
    <xf numFmtId="0" fontId="8" fillId="2" borderId="2" xfId="0" applyFont="1" applyFill="1" applyBorder="1"/>
    <xf numFmtId="9" fontId="5" fillId="0" borderId="1" xfId="1" applyFont="1" applyBorder="1" applyAlignment="1">
      <alignment horizontal="center"/>
    </xf>
    <xf numFmtId="9" fontId="6" fillId="0" borderId="1" xfId="0" applyNumberFormat="1" applyFont="1" applyBorder="1"/>
    <xf numFmtId="0" fontId="7" fillId="3" borderId="1" xfId="0" applyFont="1" applyFill="1" applyBorder="1" applyAlignment="1">
      <alignment vertical="center"/>
    </xf>
    <xf numFmtId="14" fontId="7" fillId="3" borderId="1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horizontal="right" vertical="center"/>
    </xf>
    <xf numFmtId="9" fontId="5" fillId="3" borderId="1" xfId="1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right" vertical="center"/>
    </xf>
    <xf numFmtId="164" fontId="5" fillId="0" borderId="1" xfId="1" applyNumberFormat="1" applyFont="1" applyBorder="1" applyAlignment="1">
      <alignment horizontal="center"/>
    </xf>
    <xf numFmtId="164" fontId="6" fillId="0" borderId="1" xfId="0" applyNumberFormat="1" applyFont="1" applyBorder="1"/>
    <xf numFmtId="0" fontId="6" fillId="0" borderId="1" xfId="0" applyFont="1" applyBorder="1"/>
    <xf numFmtId="0" fontId="7" fillId="2" borderId="3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vertical="center"/>
    </xf>
    <xf numFmtId="14" fontId="7" fillId="2" borderId="3" xfId="0" applyNumberFormat="1" applyFont="1" applyFill="1" applyBorder="1" applyAlignment="1">
      <alignment horizontal="right" vertical="center"/>
    </xf>
    <xf numFmtId="9" fontId="5" fillId="0" borderId="3" xfId="1" applyFont="1" applyBorder="1" applyAlignment="1">
      <alignment horizontal="center"/>
    </xf>
    <xf numFmtId="0" fontId="8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9" fontId="0" fillId="0" borderId="0" xfId="0" applyNumberFormat="1"/>
    <xf numFmtId="16" fontId="0" fillId="0" borderId="0" xfId="0" applyNumberFormat="1"/>
    <xf numFmtId="0" fontId="4" fillId="0" borderId="0" xfId="0" applyFont="1"/>
    <xf numFmtId="0" fontId="10" fillId="2" borderId="1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164" fontId="11" fillId="0" borderId="1" xfId="1" applyNumberFormat="1" applyFont="1" applyBorder="1" applyAlignment="1">
      <alignment horizontal="center"/>
    </xf>
    <xf numFmtId="9" fontId="4" fillId="0" borderId="0" xfId="0" applyNumberFormat="1" applyFont="1"/>
    <xf numFmtId="164" fontId="12" fillId="0" borderId="1" xfId="0" applyNumberFormat="1" applyFont="1" applyBorder="1"/>
    <xf numFmtId="0" fontId="2" fillId="0" borderId="0" xfId="0" applyFont="1" applyFill="1" applyBorder="1" applyAlignment="1">
      <alignment vertical="center" wrapText="1"/>
    </xf>
    <xf numFmtId="14" fontId="4" fillId="0" borderId="0" xfId="0" applyNumberFormat="1" applyFont="1"/>
    <xf numFmtId="0" fontId="7" fillId="2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"/>
  <sheetViews>
    <sheetView tabSelected="1" zoomScale="70" zoomScaleNormal="70" workbookViewId="0"/>
  </sheetViews>
  <sheetFormatPr baseColWidth="10" defaultColWidth="20.7109375" defaultRowHeight="15" x14ac:dyDescent="0.25"/>
  <cols>
    <col min="2" max="2" width="20.7109375" customWidth="1"/>
    <col min="4" max="4" width="35" customWidth="1"/>
    <col min="5" max="5" width="32.7109375" customWidth="1"/>
    <col min="6" max="6" width="53.140625" customWidth="1"/>
    <col min="7" max="7" width="29.85546875" customWidth="1"/>
    <col min="8" max="8" width="28.85546875" customWidth="1"/>
    <col min="9" max="9" width="47" customWidth="1"/>
    <col min="10" max="10" width="28.140625" customWidth="1"/>
    <col min="11" max="11" width="30" customWidth="1"/>
    <col min="12" max="12" width="26.140625" customWidth="1"/>
    <col min="13" max="13" width="26.42578125" customWidth="1"/>
    <col min="14" max="14" width="23.140625" customWidth="1"/>
    <col min="17" max="17" width="29.5703125" customWidth="1"/>
    <col min="25" max="25" width="17.28515625" customWidth="1"/>
  </cols>
  <sheetData>
    <row r="1" spans="1:31" ht="35.1" customHeight="1" x14ac:dyDescent="0.25">
      <c r="A1" s="1" t="s">
        <v>136</v>
      </c>
      <c r="B1" s="1" t="s">
        <v>135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42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25">
      <c r="A2" s="25"/>
      <c r="C2" s="25">
        <v>46194</v>
      </c>
      <c r="D2" s="4" t="s">
        <v>76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77</v>
      </c>
      <c r="N2" s="2" t="s">
        <v>78</v>
      </c>
      <c r="O2" s="2" t="s">
        <v>38</v>
      </c>
      <c r="P2" s="2" t="s">
        <v>79</v>
      </c>
      <c r="Q2" s="4" t="s">
        <v>44</v>
      </c>
      <c r="R2" s="4" t="s">
        <v>43</v>
      </c>
      <c r="S2" s="34" t="s">
        <v>46</v>
      </c>
      <c r="T2" s="43" t="s">
        <v>41</v>
      </c>
      <c r="U2" s="39" t="s">
        <v>45</v>
      </c>
      <c r="V2" s="4" t="s">
        <v>80</v>
      </c>
      <c r="W2" s="4">
        <v>31052026</v>
      </c>
      <c r="X2" s="5">
        <v>46173</v>
      </c>
      <c r="Y2" s="7"/>
      <c r="Z2" s="5">
        <v>46187</v>
      </c>
      <c r="AA2">
        <v>230426</v>
      </c>
      <c r="AB2" s="8">
        <v>0.73802681992337205</v>
      </c>
      <c r="AC2" s="24">
        <f t="shared" ref="AC2:AC20" si="0">1-AB2</f>
        <v>0.26197318007662795</v>
      </c>
      <c r="AD2" t="s">
        <v>81</v>
      </c>
      <c r="AE2" s="9" t="s">
        <v>47</v>
      </c>
    </row>
    <row r="3" spans="1:31" x14ac:dyDescent="0.25">
      <c r="A3" s="25"/>
      <c r="C3" s="25">
        <v>46194</v>
      </c>
      <c r="D3" s="10" t="s">
        <v>82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77</v>
      </c>
      <c r="N3" s="2" t="s">
        <v>78</v>
      </c>
      <c r="O3" s="2" t="s">
        <v>38</v>
      </c>
      <c r="P3" s="2" t="s">
        <v>79</v>
      </c>
      <c r="Q3" s="10" t="s">
        <v>48</v>
      </c>
      <c r="R3" s="10" t="s">
        <v>43</v>
      </c>
      <c r="S3" s="35"/>
      <c r="T3" s="43" t="s">
        <v>41</v>
      </c>
      <c r="U3" s="40" t="s">
        <v>49</v>
      </c>
      <c r="V3" s="10" t="s">
        <v>124</v>
      </c>
      <c r="W3" s="10" t="s">
        <v>50</v>
      </c>
      <c r="X3" s="11">
        <v>46175</v>
      </c>
      <c r="Y3" s="12">
        <v>70947</v>
      </c>
      <c r="Z3" s="11">
        <v>46182</v>
      </c>
      <c r="AA3">
        <v>230426</v>
      </c>
      <c r="AB3" s="13">
        <v>0.84312606959498004</v>
      </c>
      <c r="AC3" s="24">
        <f t="shared" si="0"/>
        <v>0.15687393040501996</v>
      </c>
      <c r="AD3" t="s">
        <v>81</v>
      </c>
      <c r="AE3" s="9" t="s">
        <v>51</v>
      </c>
    </row>
    <row r="4" spans="1:31" x14ac:dyDescent="0.25">
      <c r="A4" s="25"/>
      <c r="C4" s="25">
        <v>46194</v>
      </c>
      <c r="D4" s="4" t="s">
        <v>83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32" t="s">
        <v>88</v>
      </c>
      <c r="K4" s="2" t="s">
        <v>36</v>
      </c>
      <c r="L4" s="2" t="s">
        <v>37</v>
      </c>
      <c r="M4" s="2" t="s">
        <v>77</v>
      </c>
      <c r="N4" s="32" t="s">
        <v>109</v>
      </c>
      <c r="O4" s="2" t="s">
        <v>38</v>
      </c>
      <c r="P4" s="32" t="s">
        <v>117</v>
      </c>
      <c r="Q4" s="4" t="s">
        <v>44</v>
      </c>
      <c r="R4" s="4" t="s">
        <v>43</v>
      </c>
      <c r="S4" s="34" t="s">
        <v>52</v>
      </c>
      <c r="T4" s="43" t="s">
        <v>41</v>
      </c>
      <c r="U4" s="39" t="s">
        <v>45</v>
      </c>
      <c r="V4" s="4" t="s">
        <v>80</v>
      </c>
      <c r="W4" s="4">
        <v>31052026</v>
      </c>
      <c r="X4" s="5">
        <v>46173</v>
      </c>
      <c r="Y4" s="7"/>
      <c r="Z4" s="5">
        <v>46187</v>
      </c>
      <c r="AA4">
        <v>230426</v>
      </c>
      <c r="AB4" s="8">
        <v>0.62643965948923397</v>
      </c>
      <c r="AC4" s="24">
        <f t="shared" si="0"/>
        <v>0.37356034051076603</v>
      </c>
      <c r="AD4" t="s">
        <v>81</v>
      </c>
      <c r="AE4" s="9" t="s">
        <v>53</v>
      </c>
    </row>
    <row r="5" spans="1:31" x14ac:dyDescent="0.25">
      <c r="A5" s="25"/>
      <c r="C5" s="25">
        <v>46194</v>
      </c>
      <c r="D5" s="10" t="s">
        <v>84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32" t="s">
        <v>88</v>
      </c>
      <c r="K5" s="2" t="s">
        <v>36</v>
      </c>
      <c r="L5" s="2" t="s">
        <v>37</v>
      </c>
      <c r="M5" s="2" t="s">
        <v>77</v>
      </c>
      <c r="N5" s="32" t="s">
        <v>109</v>
      </c>
      <c r="O5" s="2" t="s">
        <v>38</v>
      </c>
      <c r="P5" s="32" t="s">
        <v>117</v>
      </c>
      <c r="Q5" s="10" t="s">
        <v>54</v>
      </c>
      <c r="R5" s="10" t="s">
        <v>43</v>
      </c>
      <c r="S5" s="35"/>
      <c r="T5" s="43" t="s">
        <v>41</v>
      </c>
      <c r="U5" s="40" t="s">
        <v>55</v>
      </c>
      <c r="V5" s="10" t="s">
        <v>125</v>
      </c>
      <c r="W5" s="10" t="s">
        <v>56</v>
      </c>
      <c r="X5" s="11">
        <v>46175</v>
      </c>
      <c r="Y5" s="12">
        <v>70954</v>
      </c>
      <c r="Z5" s="11">
        <v>46182</v>
      </c>
      <c r="AA5">
        <v>230426</v>
      </c>
      <c r="AB5" s="13">
        <v>0.75301204819277101</v>
      </c>
      <c r="AC5" s="24">
        <f t="shared" si="0"/>
        <v>0.24698795180722899</v>
      </c>
      <c r="AD5" t="s">
        <v>81</v>
      </c>
      <c r="AE5" s="9" t="s">
        <v>47</v>
      </c>
    </row>
    <row r="6" spans="1:31" x14ac:dyDescent="0.25">
      <c r="A6" s="25"/>
      <c r="C6" s="25">
        <v>46194</v>
      </c>
      <c r="D6" s="4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89</v>
      </c>
      <c r="K6" s="2" t="s">
        <v>36</v>
      </c>
      <c r="L6" s="2" t="s">
        <v>37</v>
      </c>
      <c r="M6" s="2" t="s">
        <v>77</v>
      </c>
      <c r="N6" s="2" t="s">
        <v>110</v>
      </c>
      <c r="O6" s="2" t="s">
        <v>38</v>
      </c>
      <c r="P6" s="2" t="s">
        <v>39</v>
      </c>
      <c r="Q6" s="4" t="s">
        <v>40</v>
      </c>
      <c r="R6" s="4" t="s">
        <v>43</v>
      </c>
      <c r="S6" s="34" t="s">
        <v>58</v>
      </c>
      <c r="T6" s="43" t="s">
        <v>41</v>
      </c>
      <c r="U6" s="39" t="s">
        <v>57</v>
      </c>
      <c r="V6" s="4" t="s">
        <v>126</v>
      </c>
      <c r="W6" s="4" t="s">
        <v>59</v>
      </c>
      <c r="X6" s="6">
        <v>46179</v>
      </c>
      <c r="Y6" s="7"/>
      <c r="Z6" s="6">
        <v>46191</v>
      </c>
      <c r="AA6">
        <v>230426</v>
      </c>
      <c r="AB6" s="8">
        <v>0.58700102354145345</v>
      </c>
      <c r="AC6" s="24">
        <f t="shared" si="0"/>
        <v>0.41299897645854655</v>
      </c>
      <c r="AD6" t="s">
        <v>81</v>
      </c>
      <c r="AE6" s="9" t="s">
        <v>53</v>
      </c>
    </row>
    <row r="7" spans="1:31" x14ac:dyDescent="0.25">
      <c r="A7" s="25"/>
      <c r="C7" s="25">
        <v>46194</v>
      </c>
      <c r="D7" s="10" t="s">
        <v>85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89</v>
      </c>
      <c r="K7" s="2" t="s">
        <v>36</v>
      </c>
      <c r="L7" s="2" t="s">
        <v>37</v>
      </c>
      <c r="M7" s="2" t="s">
        <v>77</v>
      </c>
      <c r="N7" s="2" t="s">
        <v>110</v>
      </c>
      <c r="O7" s="2" t="s">
        <v>38</v>
      </c>
      <c r="P7" s="2" t="s">
        <v>39</v>
      </c>
      <c r="Q7" s="10" t="s">
        <v>48</v>
      </c>
      <c r="R7" s="10" t="s">
        <v>43</v>
      </c>
      <c r="S7" s="35"/>
      <c r="T7" s="43" t="s">
        <v>41</v>
      </c>
      <c r="U7" s="40" t="s">
        <v>49</v>
      </c>
      <c r="V7" s="10" t="s">
        <v>124</v>
      </c>
      <c r="W7" s="10" t="s">
        <v>60</v>
      </c>
      <c r="X7" s="14">
        <v>46182</v>
      </c>
      <c r="Y7" s="12">
        <v>70946</v>
      </c>
      <c r="Z7" s="14">
        <v>46189</v>
      </c>
      <c r="AA7">
        <v>230426</v>
      </c>
      <c r="AB7" s="13">
        <v>0.84763390535621397</v>
      </c>
      <c r="AC7" s="24">
        <f t="shared" si="0"/>
        <v>0.15236609464378603</v>
      </c>
      <c r="AD7" t="s">
        <v>81</v>
      </c>
      <c r="AE7" s="9" t="s">
        <v>47</v>
      </c>
    </row>
    <row r="8" spans="1:31" x14ac:dyDescent="0.25">
      <c r="A8" s="25"/>
      <c r="C8" s="25">
        <v>46194</v>
      </c>
      <c r="D8" s="4" t="s">
        <v>86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32" t="s">
        <v>90</v>
      </c>
      <c r="K8" s="2" t="s">
        <v>36</v>
      </c>
      <c r="L8" s="2" t="s">
        <v>37</v>
      </c>
      <c r="M8" s="2" t="s">
        <v>77</v>
      </c>
      <c r="N8" s="32" t="s">
        <v>111</v>
      </c>
      <c r="O8" s="2" t="s">
        <v>38</v>
      </c>
      <c r="P8" s="32" t="s">
        <v>118</v>
      </c>
      <c r="Q8" s="4" t="s">
        <v>40</v>
      </c>
      <c r="R8" s="4" t="s">
        <v>43</v>
      </c>
      <c r="S8" s="34" t="s">
        <v>61</v>
      </c>
      <c r="T8" s="43" t="s">
        <v>41</v>
      </c>
      <c r="U8" s="39" t="s">
        <v>57</v>
      </c>
      <c r="V8" s="4" t="s">
        <v>126</v>
      </c>
      <c r="W8" s="4" t="s">
        <v>59</v>
      </c>
      <c r="X8" s="6">
        <v>46179</v>
      </c>
      <c r="Y8" s="7"/>
      <c r="Z8" s="6">
        <v>46191</v>
      </c>
      <c r="AA8">
        <v>230426</v>
      </c>
      <c r="AB8" s="8">
        <v>0.56051873198847257</v>
      </c>
      <c r="AC8" s="24">
        <f t="shared" si="0"/>
        <v>0.43948126801152743</v>
      </c>
      <c r="AD8" t="s">
        <v>81</v>
      </c>
      <c r="AE8" s="9" t="s">
        <v>53</v>
      </c>
    </row>
    <row r="9" spans="1:31" x14ac:dyDescent="0.25">
      <c r="A9" s="25"/>
      <c r="C9" s="25">
        <v>46194</v>
      </c>
      <c r="D9" s="10" t="s">
        <v>92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32" t="s">
        <v>90</v>
      </c>
      <c r="K9" s="2" t="s">
        <v>36</v>
      </c>
      <c r="L9" s="2" t="s">
        <v>37</v>
      </c>
      <c r="M9" s="2" t="s">
        <v>77</v>
      </c>
      <c r="N9" s="32" t="s">
        <v>111</v>
      </c>
      <c r="O9" s="2" t="s">
        <v>38</v>
      </c>
      <c r="P9" s="32" t="s">
        <v>118</v>
      </c>
      <c r="Q9" s="10" t="s">
        <v>54</v>
      </c>
      <c r="R9" s="10" t="s">
        <v>43</v>
      </c>
      <c r="S9" s="35"/>
      <c r="T9" s="43" t="s">
        <v>41</v>
      </c>
      <c r="U9" s="40" t="s">
        <v>49</v>
      </c>
      <c r="V9" s="10" t="s">
        <v>124</v>
      </c>
      <c r="W9" s="10" t="s">
        <v>62</v>
      </c>
      <c r="X9" s="14">
        <v>46183</v>
      </c>
      <c r="Y9" s="12">
        <v>72152.41</v>
      </c>
      <c r="Z9" s="14">
        <v>46190</v>
      </c>
      <c r="AA9">
        <v>230426</v>
      </c>
      <c r="AB9" s="13">
        <v>0.76254180602006694</v>
      </c>
      <c r="AC9" s="24">
        <f t="shared" si="0"/>
        <v>0.23745819397993306</v>
      </c>
      <c r="AD9" t="s">
        <v>81</v>
      </c>
      <c r="AE9" s="9" t="s">
        <v>63</v>
      </c>
    </row>
    <row r="10" spans="1:31" s="26" customFormat="1" x14ac:dyDescent="0.25">
      <c r="A10" s="25"/>
      <c r="C10" s="25">
        <v>46194</v>
      </c>
      <c r="D10" s="27" t="s">
        <v>94</v>
      </c>
      <c r="E10" s="28" t="s">
        <v>30</v>
      </c>
      <c r="F10" s="28" t="s">
        <v>31</v>
      </c>
      <c r="G10" s="28" t="s">
        <v>32</v>
      </c>
      <c r="H10" s="28" t="s">
        <v>33</v>
      </c>
      <c r="I10" s="28" t="s">
        <v>34</v>
      </c>
      <c r="J10" s="33" t="s">
        <v>91</v>
      </c>
      <c r="K10" s="28" t="s">
        <v>36</v>
      </c>
      <c r="L10" s="28" t="s">
        <v>37</v>
      </c>
      <c r="M10" s="28" t="s">
        <v>77</v>
      </c>
      <c r="N10" s="33" t="s">
        <v>112</v>
      </c>
      <c r="O10" s="2" t="s">
        <v>38</v>
      </c>
      <c r="P10" s="33" t="s">
        <v>119</v>
      </c>
      <c r="Q10" s="26" t="s">
        <v>87</v>
      </c>
      <c r="R10" s="4"/>
      <c r="S10" s="34"/>
      <c r="T10" s="43" t="s">
        <v>41</v>
      </c>
      <c r="U10" s="39"/>
      <c r="V10" s="26" t="s">
        <v>49</v>
      </c>
      <c r="W10" s="4"/>
      <c r="X10" s="27"/>
      <c r="Y10" s="26" t="s">
        <v>93</v>
      </c>
      <c r="Z10" s="4"/>
      <c r="AA10">
        <v>230426</v>
      </c>
      <c r="AB10" s="8">
        <v>0.91697127937336809</v>
      </c>
      <c r="AC10" s="30">
        <f t="shared" si="0"/>
        <v>8.3028720626631913E-2</v>
      </c>
      <c r="AD10" s="26" t="s">
        <v>81</v>
      </c>
      <c r="AE10" s="9" t="s">
        <v>51</v>
      </c>
    </row>
    <row r="11" spans="1:31" x14ac:dyDescent="0.25">
      <c r="A11" s="25"/>
      <c r="C11" s="25">
        <v>46201</v>
      </c>
      <c r="D11" s="4" t="s">
        <v>95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34</v>
      </c>
      <c r="J11" s="32" t="s">
        <v>105</v>
      </c>
      <c r="K11" s="2" t="s">
        <v>36</v>
      </c>
      <c r="L11" s="2" t="s">
        <v>37</v>
      </c>
      <c r="M11" s="2" t="s">
        <v>77</v>
      </c>
      <c r="N11" s="32" t="s">
        <v>113</v>
      </c>
      <c r="O11" s="2" t="s">
        <v>38</v>
      </c>
      <c r="P11" s="32" t="s">
        <v>120</v>
      </c>
      <c r="Q11" s="4" t="s">
        <v>65</v>
      </c>
      <c r="R11" s="4" t="s">
        <v>64</v>
      </c>
      <c r="S11" s="34"/>
      <c r="T11" s="43" t="s">
        <v>41</v>
      </c>
      <c r="U11" s="39" t="s">
        <v>67</v>
      </c>
      <c r="V11" s="4" t="s">
        <v>66</v>
      </c>
      <c r="W11" s="4"/>
      <c r="X11" s="4"/>
      <c r="Y11" s="4"/>
      <c r="Z11" s="4"/>
      <c r="AA11" s="26">
        <v>100626</v>
      </c>
      <c r="AB11" s="29">
        <v>0.66513527309851972</v>
      </c>
      <c r="AC11" s="24">
        <f t="shared" si="0"/>
        <v>0.33486472690148028</v>
      </c>
      <c r="AD11" t="s">
        <v>81</v>
      </c>
      <c r="AE11" s="31" t="s">
        <v>47</v>
      </c>
    </row>
    <row r="12" spans="1:31" x14ac:dyDescent="0.25">
      <c r="A12" s="25"/>
      <c r="C12" s="25">
        <v>46201</v>
      </c>
      <c r="D12" s="4" t="s">
        <v>96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34</v>
      </c>
      <c r="J12" s="32" t="s">
        <v>105</v>
      </c>
      <c r="K12" s="2" t="s">
        <v>36</v>
      </c>
      <c r="L12" s="2" t="s">
        <v>37</v>
      </c>
      <c r="M12" s="2" t="s">
        <v>77</v>
      </c>
      <c r="N12" s="32" t="s">
        <v>113</v>
      </c>
      <c r="O12" s="2" t="s">
        <v>38</v>
      </c>
      <c r="P12" s="32" t="s">
        <v>120</v>
      </c>
      <c r="Q12" s="4" t="s">
        <v>65</v>
      </c>
      <c r="R12" s="4" t="s">
        <v>64</v>
      </c>
      <c r="S12" s="36"/>
      <c r="T12" s="43" t="s">
        <v>41</v>
      </c>
      <c r="U12" s="39"/>
      <c r="V12" s="4" t="s">
        <v>66</v>
      </c>
      <c r="W12" s="17"/>
      <c r="X12" s="17"/>
      <c r="Y12" s="4"/>
      <c r="Z12" s="17"/>
      <c r="AA12">
        <v>100626</v>
      </c>
      <c r="AB12" s="15">
        <v>0.56144890038809825</v>
      </c>
      <c r="AC12" s="24">
        <f t="shared" si="0"/>
        <v>0.43855109961190175</v>
      </c>
      <c r="AD12" t="s">
        <v>81</v>
      </c>
      <c r="AE12" s="16" t="s">
        <v>53</v>
      </c>
    </row>
    <row r="13" spans="1:31" x14ac:dyDescent="0.25">
      <c r="A13" s="25"/>
      <c r="C13" s="25">
        <v>46201</v>
      </c>
      <c r="D13" s="19" t="s">
        <v>97</v>
      </c>
      <c r="E13" s="2" t="s">
        <v>30</v>
      </c>
      <c r="F13" s="2" t="s">
        <v>31</v>
      </c>
      <c r="G13" s="2" t="s">
        <v>32</v>
      </c>
      <c r="H13" s="2" t="s">
        <v>33</v>
      </c>
      <c r="I13" s="2" t="s">
        <v>34</v>
      </c>
      <c r="J13" s="32" t="s">
        <v>105</v>
      </c>
      <c r="K13" s="2" t="s">
        <v>36</v>
      </c>
      <c r="L13" s="2" t="s">
        <v>37</v>
      </c>
      <c r="M13" s="2" t="s">
        <v>77</v>
      </c>
      <c r="N13" s="32" t="s">
        <v>113</v>
      </c>
      <c r="O13" s="2" t="s">
        <v>38</v>
      </c>
      <c r="P13" s="32" t="s">
        <v>120</v>
      </c>
      <c r="Q13" s="19" t="s">
        <v>48</v>
      </c>
      <c r="R13" s="19" t="s">
        <v>43</v>
      </c>
      <c r="S13" s="37"/>
      <c r="T13" s="43" t="s">
        <v>41</v>
      </c>
      <c r="U13" s="41" t="s">
        <v>45</v>
      </c>
      <c r="V13" s="19" t="s">
        <v>127</v>
      </c>
      <c r="W13" s="19" t="s">
        <v>68</v>
      </c>
      <c r="X13" s="20">
        <v>46188</v>
      </c>
      <c r="Y13" s="18">
        <v>72751</v>
      </c>
      <c r="Z13" s="20">
        <v>46195</v>
      </c>
      <c r="AA13">
        <v>100626</v>
      </c>
      <c r="AB13" s="21">
        <v>0.83281893004115226</v>
      </c>
      <c r="AC13" s="24">
        <f t="shared" si="0"/>
        <v>0.16718106995884774</v>
      </c>
      <c r="AD13" t="s">
        <v>81</v>
      </c>
      <c r="AE13" s="17" t="s">
        <v>47</v>
      </c>
    </row>
    <row r="14" spans="1:31" x14ac:dyDescent="0.25">
      <c r="A14" s="25"/>
      <c r="C14" s="25">
        <v>46201</v>
      </c>
      <c r="D14" s="4" t="s">
        <v>98</v>
      </c>
      <c r="E14" s="2" t="s">
        <v>30</v>
      </c>
      <c r="F14" s="2" t="s">
        <v>31</v>
      </c>
      <c r="G14" s="2" t="s">
        <v>32</v>
      </c>
      <c r="H14" s="2" t="s">
        <v>33</v>
      </c>
      <c r="I14" s="2" t="s">
        <v>34</v>
      </c>
      <c r="J14" s="32" t="s">
        <v>106</v>
      </c>
      <c r="K14" s="2" t="s">
        <v>36</v>
      </c>
      <c r="L14" s="2" t="s">
        <v>37</v>
      </c>
      <c r="M14" s="2" t="s">
        <v>77</v>
      </c>
      <c r="N14" s="32" t="s">
        <v>114</v>
      </c>
      <c r="O14" s="2" t="s">
        <v>38</v>
      </c>
      <c r="P14" s="32" t="s">
        <v>121</v>
      </c>
      <c r="Q14" s="4" t="s">
        <v>48</v>
      </c>
      <c r="R14" s="4" t="s">
        <v>43</v>
      </c>
      <c r="S14" s="38"/>
      <c r="T14" s="43" t="s">
        <v>41</v>
      </c>
      <c r="U14" s="39" t="s">
        <v>45</v>
      </c>
      <c r="V14" s="19" t="s">
        <v>127</v>
      </c>
      <c r="W14" s="4" t="s">
        <v>68</v>
      </c>
      <c r="X14" s="5">
        <v>46188</v>
      </c>
      <c r="Y14" s="3">
        <v>72751</v>
      </c>
      <c r="Z14" s="5">
        <v>46195</v>
      </c>
      <c r="AA14">
        <v>100626</v>
      </c>
      <c r="AB14" s="21">
        <v>0.81684981684981683</v>
      </c>
      <c r="AC14" s="24">
        <f t="shared" si="0"/>
        <v>0.18315018315018317</v>
      </c>
      <c r="AD14" t="s">
        <v>81</v>
      </c>
      <c r="AE14" s="17" t="s">
        <v>47</v>
      </c>
    </row>
    <row r="15" spans="1:31" x14ac:dyDescent="0.25">
      <c r="A15" s="25"/>
      <c r="C15" s="25">
        <v>46201</v>
      </c>
      <c r="D15" s="4" t="s">
        <v>99</v>
      </c>
      <c r="E15" s="2" t="s">
        <v>30</v>
      </c>
      <c r="F15" s="2" t="s">
        <v>31</v>
      </c>
      <c r="G15" s="2" t="s">
        <v>32</v>
      </c>
      <c r="H15" s="2" t="s">
        <v>33</v>
      </c>
      <c r="I15" s="2" t="s">
        <v>34</v>
      </c>
      <c r="J15" s="32" t="s">
        <v>107</v>
      </c>
      <c r="K15" s="2" t="s">
        <v>36</v>
      </c>
      <c r="L15" s="2" t="s">
        <v>37</v>
      </c>
      <c r="M15" s="2" t="s">
        <v>77</v>
      </c>
      <c r="N15" s="32" t="s">
        <v>115</v>
      </c>
      <c r="O15" s="2" t="s">
        <v>38</v>
      </c>
      <c r="P15" s="32" t="s">
        <v>122</v>
      </c>
      <c r="Q15" s="4" t="s">
        <v>70</v>
      </c>
      <c r="R15" s="4" t="s">
        <v>69</v>
      </c>
      <c r="S15" s="34" t="s">
        <v>131</v>
      </c>
      <c r="T15" s="43" t="s">
        <v>41</v>
      </c>
      <c r="U15" s="39" t="s">
        <v>71</v>
      </c>
      <c r="V15" s="4" t="s">
        <v>128</v>
      </c>
      <c r="W15" s="23">
        <v>20062026</v>
      </c>
      <c r="X15" s="6">
        <v>46193</v>
      </c>
      <c r="Y15" s="22"/>
      <c r="Z15" s="6">
        <v>46204</v>
      </c>
      <c r="AA15">
        <v>100626</v>
      </c>
      <c r="AB15" s="8">
        <v>0.45299952763344359</v>
      </c>
      <c r="AC15" s="24">
        <f t="shared" si="0"/>
        <v>0.54700047236655647</v>
      </c>
      <c r="AD15" t="s">
        <v>81</v>
      </c>
      <c r="AE15" s="9" t="s">
        <v>42</v>
      </c>
    </row>
    <row r="16" spans="1:31" x14ac:dyDescent="0.25">
      <c r="A16" s="25"/>
      <c r="C16" s="25">
        <v>46201</v>
      </c>
      <c r="D16" s="4" t="s">
        <v>100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  <c r="J16" s="32" t="s">
        <v>107</v>
      </c>
      <c r="K16" s="2" t="s">
        <v>36</v>
      </c>
      <c r="L16" s="2" t="s">
        <v>37</v>
      </c>
      <c r="M16" s="2" t="s">
        <v>77</v>
      </c>
      <c r="N16" s="32" t="s">
        <v>115</v>
      </c>
      <c r="O16" s="2" t="s">
        <v>38</v>
      </c>
      <c r="P16" s="32" t="s">
        <v>122</v>
      </c>
      <c r="Q16" s="4" t="s">
        <v>72</v>
      </c>
      <c r="R16" s="4" t="s">
        <v>69</v>
      </c>
      <c r="S16" s="34" t="s">
        <v>132</v>
      </c>
      <c r="T16" s="43" t="s">
        <v>41</v>
      </c>
      <c r="U16" s="39" t="s">
        <v>45</v>
      </c>
      <c r="V16" s="4" t="s">
        <v>129</v>
      </c>
      <c r="W16" s="4" t="s">
        <v>73</v>
      </c>
      <c r="X16" s="6">
        <v>46193</v>
      </c>
      <c r="Y16" s="22"/>
      <c r="Z16" s="6">
        <v>46206</v>
      </c>
      <c r="AA16">
        <v>100626</v>
      </c>
      <c r="AB16" s="8">
        <v>0.66522157996146447</v>
      </c>
      <c r="AC16" s="24">
        <f t="shared" si="0"/>
        <v>0.33477842003853553</v>
      </c>
      <c r="AD16" t="s">
        <v>81</v>
      </c>
      <c r="AE16" s="9" t="s">
        <v>47</v>
      </c>
    </row>
    <row r="17" spans="1:32" x14ac:dyDescent="0.25">
      <c r="A17" s="25"/>
      <c r="C17" s="25">
        <v>46201</v>
      </c>
      <c r="D17" s="4" t="s">
        <v>103</v>
      </c>
      <c r="E17" s="2" t="s">
        <v>30</v>
      </c>
      <c r="F17" s="2" t="s">
        <v>31</v>
      </c>
      <c r="G17" s="2" t="s">
        <v>32</v>
      </c>
      <c r="H17" s="2" t="s">
        <v>33</v>
      </c>
      <c r="I17" s="2" t="s">
        <v>34</v>
      </c>
      <c r="J17" s="32" t="s">
        <v>107</v>
      </c>
      <c r="K17" s="2" t="s">
        <v>36</v>
      </c>
      <c r="L17" s="2" t="s">
        <v>37</v>
      </c>
      <c r="M17" s="2" t="s">
        <v>77</v>
      </c>
      <c r="N17" s="32" t="s">
        <v>115</v>
      </c>
      <c r="O17" s="2" t="s">
        <v>38</v>
      </c>
      <c r="P17" s="32" t="s">
        <v>122</v>
      </c>
      <c r="Q17" s="4" t="s">
        <v>74</v>
      </c>
      <c r="R17" s="4" t="s">
        <v>69</v>
      </c>
      <c r="S17" s="38"/>
      <c r="T17" s="43" t="s">
        <v>41</v>
      </c>
      <c r="U17" s="39" t="s">
        <v>49</v>
      </c>
      <c r="V17" s="4" t="s">
        <v>130</v>
      </c>
      <c r="W17" s="4" t="s">
        <v>75</v>
      </c>
      <c r="X17" s="5">
        <v>46195</v>
      </c>
      <c r="Y17" s="3">
        <v>70943</v>
      </c>
      <c r="Z17" s="5">
        <v>46202</v>
      </c>
      <c r="AA17">
        <v>100626</v>
      </c>
      <c r="AB17" s="8">
        <v>0.71815286624203822</v>
      </c>
      <c r="AC17" s="24">
        <f t="shared" si="0"/>
        <v>0.28184713375796178</v>
      </c>
      <c r="AD17" t="s">
        <v>81</v>
      </c>
      <c r="AE17" s="9" t="s">
        <v>47</v>
      </c>
    </row>
    <row r="18" spans="1:32" x14ac:dyDescent="0.25">
      <c r="A18" s="25"/>
      <c r="C18" s="25">
        <v>46201</v>
      </c>
      <c r="D18" s="4" t="s">
        <v>101</v>
      </c>
      <c r="E18" s="2" t="s">
        <v>30</v>
      </c>
      <c r="F18" s="2" t="s">
        <v>31</v>
      </c>
      <c r="G18" s="2" t="s">
        <v>32</v>
      </c>
      <c r="H18" s="2" t="s">
        <v>33</v>
      </c>
      <c r="I18" s="2" t="s">
        <v>34</v>
      </c>
      <c r="J18" s="32" t="s">
        <v>108</v>
      </c>
      <c r="K18" s="2" t="s">
        <v>36</v>
      </c>
      <c r="L18" s="2" t="s">
        <v>37</v>
      </c>
      <c r="M18" s="2" t="s">
        <v>77</v>
      </c>
      <c r="N18" s="32" t="s">
        <v>116</v>
      </c>
      <c r="O18" s="2" t="s">
        <v>38</v>
      </c>
      <c r="P18" s="32" t="s">
        <v>123</v>
      </c>
      <c r="Q18" s="4" t="s">
        <v>70</v>
      </c>
      <c r="R18" s="4" t="s">
        <v>69</v>
      </c>
      <c r="S18" s="38" t="s">
        <v>133</v>
      </c>
      <c r="T18" s="43" t="s">
        <v>41</v>
      </c>
      <c r="U18" s="39" t="s">
        <v>71</v>
      </c>
      <c r="V18" s="4" t="s">
        <v>128</v>
      </c>
      <c r="W18" s="4">
        <v>20062026</v>
      </c>
      <c r="X18" s="5">
        <v>46193</v>
      </c>
      <c r="Y18" s="3"/>
      <c r="Z18" s="5">
        <v>46204</v>
      </c>
      <c r="AA18">
        <v>2606026</v>
      </c>
      <c r="AB18" s="15">
        <v>0.50326086956521754</v>
      </c>
      <c r="AC18" s="24">
        <f t="shared" si="0"/>
        <v>0.49673913043478246</v>
      </c>
      <c r="AD18" t="s">
        <v>81</v>
      </c>
      <c r="AE18" s="17" t="s">
        <v>42</v>
      </c>
    </row>
    <row r="19" spans="1:32" x14ac:dyDescent="0.25">
      <c r="A19" s="25"/>
      <c r="C19" s="25">
        <v>46201</v>
      </c>
      <c r="D19" s="4" t="s">
        <v>102</v>
      </c>
      <c r="E19" s="2" t="s">
        <v>30</v>
      </c>
      <c r="F19" s="2" t="s">
        <v>31</v>
      </c>
      <c r="G19" s="2" t="s">
        <v>32</v>
      </c>
      <c r="H19" s="2" t="s">
        <v>33</v>
      </c>
      <c r="I19" s="2" t="s">
        <v>34</v>
      </c>
      <c r="J19" s="32" t="s">
        <v>108</v>
      </c>
      <c r="K19" s="2" t="s">
        <v>36</v>
      </c>
      <c r="L19" s="2" t="s">
        <v>37</v>
      </c>
      <c r="M19" s="2" t="s">
        <v>77</v>
      </c>
      <c r="N19" s="32" t="s">
        <v>116</v>
      </c>
      <c r="O19" s="2" t="s">
        <v>38</v>
      </c>
      <c r="P19" s="32" t="s">
        <v>123</v>
      </c>
      <c r="Q19" s="4" t="s">
        <v>72</v>
      </c>
      <c r="R19" s="4" t="s">
        <v>69</v>
      </c>
      <c r="S19" s="38" t="s">
        <v>134</v>
      </c>
      <c r="T19" s="43" t="s">
        <v>41</v>
      </c>
      <c r="U19" s="39" t="s">
        <v>45</v>
      </c>
      <c r="V19" s="4" t="s">
        <v>129</v>
      </c>
      <c r="W19" s="4" t="s">
        <v>73</v>
      </c>
      <c r="X19" s="5">
        <v>46193</v>
      </c>
      <c r="Y19" s="3"/>
      <c r="Z19" s="5">
        <v>46206</v>
      </c>
      <c r="AA19">
        <v>2606026</v>
      </c>
      <c r="AB19" s="15">
        <v>0.46431924882629094</v>
      </c>
      <c r="AC19" s="24">
        <f t="shared" si="0"/>
        <v>0.53568075117370906</v>
      </c>
      <c r="AD19" t="s">
        <v>81</v>
      </c>
      <c r="AE19" s="17" t="s">
        <v>42</v>
      </c>
    </row>
    <row r="20" spans="1:32" x14ac:dyDescent="0.25">
      <c r="C20" s="25">
        <v>46201</v>
      </c>
      <c r="D20" s="4" t="s">
        <v>104</v>
      </c>
      <c r="E20" s="2" t="s">
        <v>30</v>
      </c>
      <c r="F20" s="2" t="s">
        <v>31</v>
      </c>
      <c r="G20" s="2" t="s">
        <v>32</v>
      </c>
      <c r="H20" s="2" t="s">
        <v>33</v>
      </c>
      <c r="I20" s="2" t="s">
        <v>34</v>
      </c>
      <c r="J20" s="32" t="s">
        <v>108</v>
      </c>
      <c r="K20" s="2" t="s">
        <v>36</v>
      </c>
      <c r="L20" s="2" t="s">
        <v>37</v>
      </c>
      <c r="M20" s="2" t="s">
        <v>77</v>
      </c>
      <c r="N20" s="32" t="s">
        <v>116</v>
      </c>
      <c r="O20" s="2" t="s">
        <v>38</v>
      </c>
      <c r="P20" s="32" t="s">
        <v>123</v>
      </c>
      <c r="Q20" s="4" t="s">
        <v>74</v>
      </c>
      <c r="R20" s="4" t="s">
        <v>69</v>
      </c>
      <c r="S20" s="38"/>
      <c r="T20" s="43" t="s">
        <v>41</v>
      </c>
      <c r="U20" s="39" t="s">
        <v>49</v>
      </c>
      <c r="V20" s="4" t="s">
        <v>130</v>
      </c>
      <c r="W20" s="4" t="s">
        <v>75</v>
      </c>
      <c r="X20" s="5">
        <v>46195</v>
      </c>
      <c r="Y20" s="3">
        <v>70943</v>
      </c>
      <c r="Z20" s="5">
        <v>46202</v>
      </c>
      <c r="AA20">
        <v>2606026</v>
      </c>
      <c r="AB20" s="15">
        <v>0.72889710412815778</v>
      </c>
      <c r="AC20" s="24">
        <f t="shared" si="0"/>
        <v>0.27110289587184222</v>
      </c>
      <c r="AD20" t="s">
        <v>81</v>
      </c>
      <c r="AE20" s="17" t="s">
        <v>47</v>
      </c>
      <c r="AF20" s="25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dcterms:created xsi:type="dcterms:W3CDTF">2015-06-05T18:19:34Z</dcterms:created>
  <dcterms:modified xsi:type="dcterms:W3CDTF">2026-06-29T11:06:35Z</dcterms:modified>
</cp:coreProperties>
</file>