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DEV\Report-Generator\profiles\comptoirs-oceaniques\"/>
    </mc:Choice>
  </mc:AlternateContent>
  <xr:revisionPtr revIDLastSave="0" documentId="13_ncr:1_{A3C7F198-21F3-4140-A5D1-E76068344B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especes" sheetId="2" r:id="rId2"/>
    <sheet name="fournisseurs" sheetId="3" r:id="rId3"/>
    <sheet name="espece-critere_quali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65" i="1" l="1"/>
  <c r="AB38" i="1"/>
  <c r="AB37" i="1"/>
  <c r="AB36" i="1"/>
  <c r="AB35" i="1"/>
  <c r="AB34" i="1"/>
  <c r="AB33" i="1"/>
  <c r="AB32" i="1"/>
  <c r="AB30" i="1"/>
  <c r="AB29" i="1"/>
  <c r="AB28" i="1"/>
  <c r="AB27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<sst xmlns="http://schemas.openxmlformats.org/spreadsheetml/2006/main" count="1379" uniqueCount="418">
  <si>
    <t>nom rapport generé</t>
  </si>
  <si>
    <t>numero rapport</t>
  </si>
  <si>
    <t>numero echantillon</t>
  </si>
  <si>
    <t>date rapport</t>
  </si>
  <si>
    <t>appellation produit</t>
  </si>
  <si>
    <t>nom entreprise client</t>
  </si>
  <si>
    <t>adresse entreprise client</t>
  </si>
  <si>
    <t>nom destinataire</t>
  </si>
  <si>
    <t>titre poste destinataire</t>
  </si>
  <si>
    <t>Lieu de prelevment</t>
  </si>
  <si>
    <t>date heure prelevment</t>
  </si>
  <si>
    <t>ville prelevement</t>
  </si>
  <si>
    <t>conditions coservation reception</t>
  </si>
  <si>
    <t>date heure arrive labo</t>
  </si>
  <si>
    <t>temperature reception</t>
  </si>
  <si>
    <t>date heure mise en analyse</t>
  </si>
  <si>
    <t>fournisseur fabricant</t>
  </si>
  <si>
    <t>conditionnement</t>
  </si>
  <si>
    <t>espece</t>
  </si>
  <si>
    <t>agrement</t>
  </si>
  <si>
    <t>origine</t>
  </si>
  <si>
    <t>lot</t>
  </si>
  <si>
    <t>date emabalage</t>
  </si>
  <si>
    <t>code article</t>
  </si>
  <si>
    <t>dlc</t>
  </si>
  <si>
    <t>lot precice</t>
  </si>
  <si>
    <t>imp</t>
  </si>
  <si>
    <t>Hx</t>
  </si>
  <si>
    <t>conformite</t>
  </si>
  <si>
    <t>qualite</t>
  </si>
  <si>
    <t>NOVOCIB Rapport d'essai 260621-1</t>
  </si>
  <si>
    <t>260621-1</t>
  </si>
  <si>
    <t>Thon frais naturel 1</t>
  </si>
  <si>
    <t>Comptoirs Océaniques</t>
  </si>
  <si>
    <t>7 rue Gustave Serruier, 76620 Le Havre</t>
  </si>
  <si>
    <t>Adeline Levasseur</t>
  </si>
  <si>
    <t>Directrice qualité</t>
  </si>
  <si>
    <t>Comptoir Océanique</t>
  </si>
  <si>
    <t>04/06/2026 12h</t>
  </si>
  <si>
    <t>Boulogne-sur-Mer</t>
  </si>
  <si>
    <t>glace</t>
  </si>
  <si>
    <t>04/06/2026 12h15</t>
  </si>
  <si>
    <t>4°C</t>
  </si>
  <si>
    <t>04/06/2026 14h</t>
  </si>
  <si>
    <t>big fish</t>
  </si>
  <si>
    <t>1.8kg</t>
  </si>
  <si>
    <t>Thunnus albacares</t>
  </si>
  <si>
    <t>FAO 51</t>
  </si>
  <si>
    <t>Maldives FAO51</t>
  </si>
  <si>
    <t>conforme(s) au(x) critère(s)</t>
  </si>
  <si>
    <t>Extra</t>
  </si>
  <si>
    <t>Thon décongelé 11</t>
  </si>
  <si>
    <t>dongwon</t>
  </si>
  <si>
    <t>FAO 71</t>
  </si>
  <si>
    <t>Corée FAO71</t>
  </si>
  <si>
    <t>DW 2605</t>
  </si>
  <si>
    <t>Sashimi</t>
  </si>
  <si>
    <t>Thon frais naturel 2</t>
  </si>
  <si>
    <t>05/06/2026 12H</t>
  </si>
  <si>
    <t>05/06/2026 12H15</t>
  </si>
  <si>
    <t>05/06/2026 14h</t>
  </si>
  <si>
    <t>2kg</t>
  </si>
  <si>
    <t>A+</t>
  </si>
  <si>
    <t>Thon décongelé 12</t>
  </si>
  <si>
    <t>shin hyun</t>
  </si>
  <si>
    <t>FAO 77</t>
  </si>
  <si>
    <t>Corée FAO77</t>
  </si>
  <si>
    <t>SH 2518</t>
  </si>
  <si>
    <t>Thon frais naturel 3</t>
  </si>
  <si>
    <t>11/06/2026 12h</t>
  </si>
  <si>
    <t>11/06/2026 12h15</t>
  </si>
  <si>
    <t>11/06/2026 14h</t>
  </si>
  <si>
    <t>BPE</t>
  </si>
  <si>
    <t>1,77 kg</t>
  </si>
  <si>
    <t>FAO 34</t>
  </si>
  <si>
    <t>Cote d'ivoire FAO34</t>
  </si>
  <si>
    <t>ABP10A 153/ 26</t>
  </si>
  <si>
    <t xml:space="preserve"> Thon décongelé 13</t>
  </si>
  <si>
    <t>DW 2526</t>
  </si>
  <si>
    <t>Thon frais naturel 4</t>
  </si>
  <si>
    <t>12/06/2026 12H</t>
  </si>
  <si>
    <t>12/06/2026 12H15</t>
  </si>
  <si>
    <t>12/06/2026 14h</t>
  </si>
  <si>
    <t>2,05 kg</t>
  </si>
  <si>
    <t xml:space="preserve"> Thon décongelé 14</t>
  </si>
  <si>
    <t>SH 2601</t>
  </si>
  <si>
    <t>Extra+</t>
  </si>
  <si>
    <t>Longe de thon décongelé</t>
  </si>
  <si>
    <t>04/02/2026 12H</t>
  </si>
  <si>
    <t>04/02/2026 12H15</t>
  </si>
  <si>
    <t>04/02/2026 14h</t>
  </si>
  <si>
    <t>Golden Ocean</t>
  </si>
  <si>
    <t xml:space="preserve">MP  FAB 16200 </t>
  </si>
  <si>
    <t>Thon frais saumuré 21</t>
  </si>
  <si>
    <t>17/06/2026 14h</t>
  </si>
  <si>
    <t>17/06/2026 14h15</t>
  </si>
  <si>
    <t>17/06/2026 16h</t>
  </si>
  <si>
    <t>barba</t>
  </si>
  <si>
    <t>FAO34</t>
  </si>
  <si>
    <t>transformé en France</t>
  </si>
  <si>
    <t>Thon frais saumuré 22</t>
  </si>
  <si>
    <t>Thon  décongelé 15</t>
  </si>
  <si>
    <t>Corée FAO51</t>
  </si>
  <si>
    <t>DW 2522</t>
  </si>
  <si>
    <t xml:space="preserve"> Thon décongelé 16</t>
  </si>
  <si>
    <t>18/06/2026 12H</t>
  </si>
  <si>
    <t>18/06/2026 12H15</t>
  </si>
  <si>
    <t>18/06/2026 14h</t>
  </si>
  <si>
    <t>NOVOCIB Rapport d'essai 260628-5</t>
  </si>
  <si>
    <t>260628-5</t>
  </si>
  <si>
    <t>Thon frais naturel 5</t>
  </si>
  <si>
    <t>25/06/26 16H</t>
  </si>
  <si>
    <t>25/06/26 16H15</t>
  </si>
  <si>
    <t>25/06/26 17h</t>
  </si>
  <si>
    <t>Global sea food</t>
  </si>
  <si>
    <t>1,18kg</t>
  </si>
  <si>
    <t>FAO 57</t>
  </si>
  <si>
    <t>Sri Lanka FAO57</t>
  </si>
  <si>
    <t>A</t>
  </si>
  <si>
    <t>frais naturel 7</t>
  </si>
  <si>
    <t>Marlu</t>
  </si>
  <si>
    <t>2,29kg</t>
  </si>
  <si>
    <t>Seychelles FAO51</t>
  </si>
  <si>
    <t>R369</t>
  </si>
  <si>
    <t>Thon décongelé 17</t>
  </si>
  <si>
    <t>golden ocean </t>
  </si>
  <si>
    <t>Fidji FAO71</t>
  </si>
  <si>
    <t>EU 285 FAB 16203</t>
  </si>
  <si>
    <t>Thon frais naturel 6</t>
  </si>
  <si>
    <t>26/06/26 14H</t>
  </si>
  <si>
    <t>26/06/26 14H15</t>
  </si>
  <si>
    <t>26/06/26 15h</t>
  </si>
  <si>
    <t>1,19kg</t>
  </si>
  <si>
    <t>Thon frais naturel 8</t>
  </si>
  <si>
    <t>2,58kg</t>
  </si>
  <si>
    <t>Thon décongelé 18</t>
  </si>
  <si>
    <t>NOVOCIB Rapport d'essai 260703-9</t>
  </si>
  <si>
    <t>260703-9</t>
  </si>
  <si>
    <t>Thon frais naturel 9</t>
  </si>
  <si>
    <t>02/07/26 13h</t>
  </si>
  <si>
    <t>02/07/26 13h15</t>
  </si>
  <si>
    <t>02/07/26 16h</t>
  </si>
  <si>
    <t>Lihini seafoods</t>
  </si>
  <si>
    <t>3kg</t>
  </si>
  <si>
    <t>Sri Lanka</t>
  </si>
  <si>
    <t>SSV230</t>
  </si>
  <si>
    <t>A-</t>
  </si>
  <si>
    <t>NOVOCIB Rapport d'essai 260703-19</t>
  </si>
  <si>
    <t>260703-19</t>
  </si>
  <si>
    <t>Thon décongelé 19</t>
  </si>
  <si>
    <t>Shin Huyn</t>
  </si>
  <si>
    <t>Thunnus obesus</t>
  </si>
  <si>
    <t>FAO 71 et 77</t>
  </si>
  <si>
    <t>Coré</t>
  </si>
  <si>
    <t>NOVOCIB Rapport d'essai 260703-23</t>
  </si>
  <si>
    <t>260703-23</t>
  </si>
  <si>
    <t>Thon  déc saumuré 23</t>
  </si>
  <si>
    <t>crustac LIDL </t>
  </si>
  <si>
    <t>Transformé en France </t>
  </si>
  <si>
    <t>nr</t>
  </si>
  <si>
    <t>NOVOCIB Rapport d'essai 260703-24</t>
  </si>
  <si>
    <t>260703-24</t>
  </si>
  <si>
    <t>Thon  déc saumuré 24</t>
  </si>
  <si>
    <t>NOVOCIB Rapport d'essai 260703-10</t>
  </si>
  <si>
    <t>260703-10</t>
  </si>
  <si>
    <t>Thon frais naturel 10</t>
  </si>
  <si>
    <t>03/07/26 13h</t>
  </si>
  <si>
    <t>03/07/26 13h15</t>
  </si>
  <si>
    <t>03/07/26 16h</t>
  </si>
  <si>
    <t>2.92kg</t>
  </si>
  <si>
    <t>NOVOCIB Rapport d'essai 260703-20</t>
  </si>
  <si>
    <t>260703-20</t>
  </si>
  <si>
    <t>Thon décongelé 20</t>
  </si>
  <si>
    <t>NOVOCIB Rapport d'essai 260724-26.docx</t>
  </si>
  <si>
    <t>260724-26</t>
  </si>
  <si>
    <t>thon albacore 26</t>
  </si>
  <si>
    <t>10/07/26 12h</t>
  </si>
  <si>
    <t>10/07/26 12h15</t>
  </si>
  <si>
    <t>congelé</t>
  </si>
  <si>
    <t>10/07/26 16h</t>
  </si>
  <si>
    <t>indonésie  leclerc</t>
  </si>
  <si>
    <t>FAO 57 PALANGRE</t>
  </si>
  <si>
    <t>NOVOCIB Rapport d'essai 260724-27.docx</t>
  </si>
  <si>
    <t>260724-27</t>
  </si>
  <si>
    <t>carrefour thon albacore 27</t>
  </si>
  <si>
    <t>ocean pacifique FAO 71</t>
  </si>
  <si>
    <t>fab 16212</t>
  </si>
  <si>
    <t>NOVOCIB Rapport d'essai 260724-28.docx</t>
  </si>
  <si>
    <t>260724-28</t>
  </si>
  <si>
    <t>picard thon albacore 28</t>
  </si>
  <si>
    <t>24/07/26 16h</t>
  </si>
  <si>
    <t>ocean indien FAO 51</t>
  </si>
  <si>
    <t>fabech2608</t>
  </si>
  <si>
    <t>NOVOCIB Rapport d'essai 260724-29.docx</t>
  </si>
  <si>
    <t>260724-29</t>
  </si>
  <si>
    <t>picard thon listao  29</t>
  </si>
  <si>
    <t>Katsuwonus pelamis</t>
  </si>
  <si>
    <t xml:space="preserve"> FAO 52</t>
  </si>
  <si>
    <t>ocean indien FAO 52</t>
  </si>
  <si>
    <t>fabech2508</t>
  </si>
  <si>
    <t>NOVOCIB Rapport d'essai 260724-30.docx</t>
  </si>
  <si>
    <t>260724-30</t>
  </si>
  <si>
    <t>picard thon germon  30</t>
  </si>
  <si>
    <t>Thunnus alalunga</t>
  </si>
  <si>
    <t>fab 16211</t>
  </si>
  <si>
    <t>NOVOCIB Rapport d'essai 261016-1.docx</t>
  </si>
  <si>
    <t>261016-13014</t>
  </si>
  <si>
    <t>pavé thon albacore saumuré</t>
  </si>
  <si>
    <t>24/09/2026 10h30</t>
  </si>
  <si>
    <t>24/09/2026 16h</t>
  </si>
  <si>
    <t>Barba intermarché</t>
  </si>
  <si>
    <t>NOVOCIB Rapport d'essai 261016-13015.docx</t>
  </si>
  <si>
    <t>261016-13015</t>
  </si>
  <si>
    <t>thon albacore saumuré</t>
  </si>
  <si>
    <t>crustaC LIDL</t>
  </si>
  <si>
    <t>B</t>
  </si>
  <si>
    <t>NOVOCIB Rapport d'essai 261016-13016.docx</t>
  </si>
  <si>
    <t>261016-13016</t>
  </si>
  <si>
    <t>NOVOCIB Rapport d'essai 261016-13017.docx</t>
  </si>
  <si>
    <t>261016-13017</t>
  </si>
  <si>
    <t>NOVOCIB Rapport d'essai 261016-13018.docx</t>
  </si>
  <si>
    <t>261016-13018</t>
  </si>
  <si>
    <t>NOVOCIB Rapport d'essai 261016-13019.docx</t>
  </si>
  <si>
    <t>261016-13019</t>
  </si>
  <si>
    <t>NOVOCIB Rapport d'essai 261016-13020.docx</t>
  </si>
  <si>
    <t>261016-13020</t>
  </si>
  <si>
    <t>hx</t>
  </si>
  <si>
    <t>NOVOCIB Rapport d'essai 260722-1.docx</t>
  </si>
  <si>
    <t>260722-1</t>
  </si>
  <si>
    <t>DOS CABIL ECO+ P/ANE X200G X6UV</t>
  </si>
  <si>
    <t>SCAPMAREE</t>
  </si>
  <si>
    <t>5 rue Marcelin Berthelot, 91320 WISSOUS Cedex</t>
  </si>
  <si>
    <t xml:space="preserve"> M. Adrien CAGNA</t>
  </si>
  <si>
    <t xml:space="preserve">Responsable Qualité </t>
  </si>
  <si>
    <t>Copromer</t>
  </si>
  <si>
    <t>21/07/2026 11h30</t>
  </si>
  <si>
    <t>2-4°C</t>
  </si>
  <si>
    <t>21/07/2026 11h45</t>
  </si>
  <si>
    <t>21/07/2026 12h30</t>
  </si>
  <si>
    <t>FRAIS EMBAL MDD</t>
  </si>
  <si>
    <t>2 X 200gr</t>
  </si>
  <si>
    <t xml:space="preserve"> Gadus morhua</t>
  </si>
  <si>
    <t>FR62.160.205</t>
  </si>
  <si>
    <t>FAO27</t>
  </si>
  <si>
    <t>non conforme(s) au(x) critère(s)</t>
  </si>
  <si>
    <t>nc</t>
  </si>
  <si>
    <t>NOVOCIB Rapport d'essai 260722-2.docx</t>
  </si>
  <si>
    <t>260722-2</t>
  </si>
  <si>
    <t>DOS CABIL ATELIER P/ANE X300G X4UV</t>
  </si>
  <si>
    <t>2 X 300gr</t>
  </si>
  <si>
    <t>NOVOCIB Rapport d'essai 260722-3.docx</t>
  </si>
  <si>
    <t>260722-3</t>
  </si>
  <si>
    <t>FLT CABIL ATELIER P/ANE P/ANE X250G X4UV</t>
  </si>
  <si>
    <t>2 X 250gr</t>
  </si>
  <si>
    <t>NOVOCIB Rapport d'essai 260722-4.docx</t>
  </si>
  <si>
    <t>260722-4</t>
  </si>
  <si>
    <t>BOULOGNE SEAFOOD MDD</t>
  </si>
  <si>
    <t>FR62.160.254CE</t>
  </si>
  <si>
    <t>NOVOCIB Rapport d'essai 260722-5.docx</t>
  </si>
  <si>
    <t>260722-5</t>
  </si>
  <si>
    <t>NOVOCIB Rapport d'essai 260722-6.docx</t>
  </si>
  <si>
    <t>260722-6</t>
  </si>
  <si>
    <t>NOVOCIB Rapport d'essai 260722-7.docx</t>
  </si>
  <si>
    <t>260722-7</t>
  </si>
  <si>
    <t>FLT CABIL SKIN P/ANE P/ANE X200G X6UV</t>
  </si>
  <si>
    <t>DEMARNE</t>
  </si>
  <si>
    <t>FR62.160.025CE</t>
  </si>
  <si>
    <t>NOVOCIB Rapport d'essai 260722-8.docx</t>
  </si>
  <si>
    <t>260722-8</t>
  </si>
  <si>
    <t>DOS CABIL SKIN P/ANE P/ANE X200G X6UV</t>
  </si>
  <si>
    <t>NOVOCIB Rapport d'essai 260724-11.docx</t>
  </si>
  <si>
    <t>260724-11</t>
  </si>
  <si>
    <t>24/07/2026 11h30</t>
  </si>
  <si>
    <t>24/07/2026 11h45</t>
  </si>
  <si>
    <t>24/07/2026 16h30</t>
  </si>
  <si>
    <t>DEMARNE BOULOGNE</t>
  </si>
  <si>
    <t>NOVOCIB Rapport d'essai 260724-2.docx</t>
  </si>
  <si>
    <t>260724-2</t>
  </si>
  <si>
    <t>FILET DE MERLAN 80+</t>
  </si>
  <si>
    <t>WHITELINK SEAFOODS LTDI</t>
  </si>
  <si>
    <t>500 gr</t>
  </si>
  <si>
    <t>Merlangius merlangius</t>
  </si>
  <si>
    <t>NOVOCIB Rapport d'essai 260724-3.docx</t>
  </si>
  <si>
    <t>260724-3</t>
  </si>
  <si>
    <t>FILET DE MERLAN 150+</t>
  </si>
  <si>
    <t>SEAFOODS ECOSSE</t>
  </si>
  <si>
    <t>G AVR</t>
  </si>
  <si>
    <t>NOVOCIB Rapport d'essai 260724-4.docx</t>
  </si>
  <si>
    <t>260724-4</t>
  </si>
  <si>
    <t>NOLAN SEAFOOD LTD</t>
  </si>
  <si>
    <t>NOVOCIB Rapport d'essai 260724-5.docx</t>
  </si>
  <si>
    <t>260724-5</t>
  </si>
  <si>
    <t>FILET D’EGLEFIN 100/200</t>
  </si>
  <si>
    <t>MONDO MAR</t>
  </si>
  <si>
    <t>NOVOCIB Rapport d'essai 260724-6.docx</t>
  </si>
  <si>
    <t>260724-6</t>
  </si>
  <si>
    <t>SN DOLLEANS</t>
  </si>
  <si>
    <t>Melanogrammus aeglefinus</t>
  </si>
  <si>
    <t>NOVOCIB Rapport d'essai 260724-7.docx</t>
  </si>
  <si>
    <t>260724-7</t>
  </si>
  <si>
    <t>FLT EGLEFIN SKIN P/ANE P/ANE X200G X6UV</t>
  </si>
  <si>
    <t>NOVOCIB Rapport d'essai 260724-8.docx</t>
  </si>
  <si>
    <t>260724-8</t>
  </si>
  <si>
    <t>FLT MERLAN SKIN P/ANE P/ANE X200G X6UV</t>
  </si>
  <si>
    <t>NOVOCIB Rapport d'essai 260724-9.docx</t>
  </si>
  <si>
    <t>260724-9</t>
  </si>
  <si>
    <t>FLT MERLAN ATELIER P/ANE P/ANE X250G X4UV</t>
  </si>
  <si>
    <t>A/A+</t>
  </si>
  <si>
    <t>NOVOCIB Rapport d'essai 260805-1.docx</t>
  </si>
  <si>
    <t>260805-1</t>
  </si>
  <si>
    <t>FILET CABILLAUD ECO+</t>
  </si>
  <si>
    <t>5 rue Marcelin Berthelot 91320 WISSOUS Cedex</t>
  </si>
  <si>
    <t>05/08 12h</t>
  </si>
  <si>
    <t>05/08 12h15</t>
  </si>
  <si>
    <t>05/08 13H</t>
  </si>
  <si>
    <t>200g</t>
  </si>
  <si>
    <t>NOVOCIB Rapport d'essai 260805-2.docx</t>
  </si>
  <si>
    <t>260805-2</t>
  </si>
  <si>
    <t>FILET CABILLAUD ATELIER</t>
  </si>
  <si>
    <t>250g</t>
  </si>
  <si>
    <t>NOVOCIB Rapport d'essai 260805-3.docx</t>
  </si>
  <si>
    <t>260805-3</t>
  </si>
  <si>
    <t>DOS CABILLAUD ECO+</t>
  </si>
  <si>
    <t>NOVOCIB Rapport d'essai 260805-4.docx</t>
  </si>
  <si>
    <t>260805-4</t>
  </si>
  <si>
    <t>NOVOCIB Rapport d'essai 260805-5.docx</t>
  </si>
  <si>
    <t>260805-5</t>
  </si>
  <si>
    <t>NOVOCIB Rapport d'essai 260805-6.docx</t>
  </si>
  <si>
    <t>260805-6</t>
  </si>
  <si>
    <t>NOVOCIB Rapport d'essai 260805-7.docx</t>
  </si>
  <si>
    <t>260805-7</t>
  </si>
  <si>
    <t>DOS CABILLAUD ATELIER</t>
  </si>
  <si>
    <t>300g</t>
  </si>
  <si>
    <t>NOVOCIB Rapport d'essai 260805-8.docx</t>
  </si>
  <si>
    <t>260805-8</t>
  </si>
  <si>
    <t>DOS CABILLAUD 200/+</t>
  </si>
  <si>
    <t>ICEFRESH SEAFOOD</t>
  </si>
  <si>
    <t>400g</t>
  </si>
  <si>
    <t>L6212</t>
  </si>
  <si>
    <t>Nom Latin</t>
  </si>
  <si>
    <t>Nom Français</t>
  </si>
  <si>
    <t>Gadus morhua</t>
  </si>
  <si>
    <t>CABILLAUD</t>
  </si>
  <si>
    <t>Pollachus virens</t>
  </si>
  <si>
    <t>LIEU NOIR</t>
  </si>
  <si>
    <t>Merluccius merluccius</t>
  </si>
  <si>
    <t>MERLU</t>
  </si>
  <si>
    <t>MERLAN</t>
  </si>
  <si>
    <t>EGLEFIN</t>
  </si>
  <si>
    <t>Molva dipterygia</t>
  </si>
  <si>
    <t>LINGUE BLEUE</t>
  </si>
  <si>
    <t>Molva molva</t>
  </si>
  <si>
    <t>JULIENNE</t>
  </si>
  <si>
    <t>Reinhardtius hippoglossoides</t>
  </si>
  <si>
    <t>FLETAN NOIR</t>
  </si>
  <si>
    <t>Pleuronectes platessa</t>
  </si>
  <si>
    <t>CARRELET</t>
  </si>
  <si>
    <t>Sebastes marinus</t>
  </si>
  <si>
    <t>SEBASTE</t>
  </si>
  <si>
    <t>Sardina pilchardus</t>
  </si>
  <si>
    <t>SARDINE</t>
  </si>
  <si>
    <t>Thon albacore</t>
  </si>
  <si>
    <t>Thon listao</t>
  </si>
  <si>
    <t>Thon germon</t>
  </si>
  <si>
    <t>Fournisseur</t>
  </si>
  <si>
    <t>Numero agrement</t>
  </si>
  <si>
    <t>ADRI &amp; ZOON (PRESTATIONS)</t>
  </si>
  <si>
    <t>NL6144</t>
  </si>
  <si>
    <t>FONFISK</t>
  </si>
  <si>
    <t>1641EF</t>
  </si>
  <si>
    <t>ISA676EFTA</t>
  </si>
  <si>
    <t>JACK TAYLOR</t>
  </si>
  <si>
    <t>GB BB006</t>
  </si>
  <si>
    <t>LASSALLE FILETS (PRESTATIONS)</t>
  </si>
  <si>
    <t>FR62.667.900CE</t>
  </si>
  <si>
    <t>LEO FRESH</t>
  </si>
  <si>
    <t>ISA443 EFTA</t>
  </si>
  <si>
    <t>LES PRODUITS COTIERS</t>
  </si>
  <si>
    <t>FR62.160.294CE</t>
  </si>
  <si>
    <t>MJ FRENCH FISH (JACK TAYLOR)</t>
  </si>
  <si>
    <t>DK1103EC</t>
  </si>
  <si>
    <t>GB AA107</t>
  </si>
  <si>
    <t>NORDIC GROUP</t>
  </si>
  <si>
    <t>Norge F-162 EFTA</t>
  </si>
  <si>
    <t>NORDVIK</t>
  </si>
  <si>
    <t>ISA676</t>
  </si>
  <si>
    <t>PECHERIES DES HAUTS DE FRANCE</t>
  </si>
  <si>
    <t>FR62.160.645</t>
  </si>
  <si>
    <t>GB BB009</t>
  </si>
  <si>
    <t>FR62.667.126UE</t>
  </si>
  <si>
    <t>STORMAR</t>
  </si>
  <si>
    <t>ISH476 EFTA</t>
  </si>
  <si>
    <t>UNI-MAREE</t>
  </si>
  <si>
    <t>FR62.160.502CE</t>
  </si>
  <si>
    <t>URK EXPORT</t>
  </si>
  <si>
    <t>NL6021EG</t>
  </si>
  <si>
    <t>VARIA</t>
  </si>
  <si>
    <t>NL220684EG</t>
  </si>
  <si>
    <t>VSV</t>
  </si>
  <si>
    <t>FR62.160.667CE</t>
  </si>
  <si>
    <t>GB BB027</t>
  </si>
  <si>
    <t>Espace</t>
  </si>
  <si>
    <t>Critere</t>
  </si>
  <si>
    <t>Cabillaud</t>
  </si>
  <si>
    <t>Cabillaud Extra IMP&gt;5% Hx &lt;15%  
A+: IMP 0% Hx 15-20%
A: IMP 0% Hx 21-26%
A-: IMP 0% Hx 27-36%
B:  IMP 0% Hx 40-50% 
nc: IMP 0% Hx&gt;50% (eq ABVT&gt;35mgN/100g)</t>
  </si>
  <si>
    <t>Lieu noir</t>
  </si>
  <si>
    <t>Lieu noir Extra IMP&gt;5% Hx &lt;15%  
A+: IMP 0% Hx 15-20%
A: IMP 0% Hx 21-26%
A-: IMP 0% Hx 27-36%
B:  IMP 0% Hx 40-50% 
nc: IMP 0% Hx&gt;50% (eq ABVT&gt;35mgN/100g)</t>
  </si>
  <si>
    <t>Merlan</t>
  </si>
  <si>
    <t>Merlan Extra IMP&gt;5% Hx &lt;15%  
A+: IMP 0% Hx 15-20%
A: IMP 0% Hx 21-26%
A-: IMP 0% Hx 27-36%
B:  IMP 0% Hx 40-50% 
nc: IMP 0% Hx&gt;50% (eq ABVT&gt;35mgN/100g)</t>
  </si>
  <si>
    <t>Thon</t>
  </si>
  <si>
    <t>Thon Sashimi : IMP &gt;90% /K-value &lt;10%
Extra : IMP 65-90%  K-value 10-35%
A: IMP 40-65%/ K-value 35-60%
B: IMP &lt;40% / K-value &gt;60%</t>
  </si>
  <si>
    <t>Sashimi : IMP &gt;90% /K-value &lt;10%
Extra : IMP 65-90%  K-value 10-35%
A+: IMP 55-65% K-value 35-45%
A: IMP 45-55%/ K-value 45-60%
B: IMP &lt;40% / K-value &gt;60%</t>
  </si>
  <si>
    <t>Eglefin</t>
  </si>
  <si>
    <t>Extra IMP&gt;60% Hx &lt;12%  
A+: IMP 40-59% Hx 12-19%
A: IMP 30-50% Hx 20-25%
A-: IMP 21-40% Hx 26-36%
B:  IMP &lt;20% Hx 36-55% 
nc: IMP 0% Hx&gt;60% (eq ABVT&gt;35mgN/100g)</t>
  </si>
  <si>
    <t>Sashimi : IMP &gt;90% /K-value &lt;10%
Extra : IMP 65-90%  K-value 10-35%
A: IMP 40-65%/ K-value 35-60%
B: IMP &lt;40% / K-value &gt;60%</t>
  </si>
  <si>
    <t>K-value</t>
  </si>
  <si>
    <t>NOVOCIB Rapport d'essai 261016-13.docx</t>
  </si>
  <si>
    <t>thon obèse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</si>
</sst>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222222"/>
      <name val="Arial"/>
      <family val="2"/>
    </font>
    <font>
      <b/>
      <sz val="11"/>
      <color rgb="FF000000"/>
      <name val="Calibri"/>
      <family val="2"/>
    </font>
    <font>
      <b/>
      <sz val="11"/>
      <color rgb="FF0000CC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i/>
      <sz val="12"/>
      <color rgb="FF202122"/>
      <name val="Arial"/>
      <family val="2"/>
    </font>
    <font>
      <sz val="12"/>
      <color rgb="FF000000"/>
      <name val="Calibri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8"/>
      <color rgb="FFFF0000"/>
      <name val="Calibri Light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i/>
      <sz val="8"/>
      <color rgb="FF4472C4"/>
      <name val="Calibri Light"/>
      <family val="2"/>
    </font>
    <font>
      <sz val="11"/>
      <color theme="8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color theme="8"/>
      <name val="Calibri"/>
      <family val="2"/>
      <scheme val="minor"/>
    </font>
    <font>
      <i/>
      <sz val="8"/>
      <color theme="8"/>
      <name val="Calibri Light"/>
      <family val="2"/>
    </font>
    <font>
      <b/>
      <sz val="11"/>
      <color theme="8"/>
      <name val="Calibri"/>
      <family val="2"/>
      <scheme val="minor"/>
    </font>
    <font>
      <sz val="12"/>
      <color theme="8"/>
      <name val="Arial"/>
      <family val="2"/>
    </font>
    <font>
      <sz val="12"/>
      <color theme="8"/>
      <name val="Calibri"/>
      <family val="2"/>
    </font>
    <font>
      <i/>
      <sz val="9"/>
      <color rgb="FF4472C4"/>
      <name val="Calibri Light"/>
      <family val="2"/>
    </font>
    <font>
      <i/>
      <sz val="8"/>
      <color theme="8"/>
      <name val="Calibri"/>
      <family val="2"/>
    </font>
    <font>
      <b/>
      <sz val="11"/>
      <color rgb="FF0000CC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Aptos"/>
      <family val="2"/>
    </font>
    <font>
      <sz val="11"/>
      <color theme="9" tint="-0.499984740745262"/>
      <name val="Calibri"/>
      <family val="2"/>
      <scheme val="minor"/>
    </font>
    <font>
      <sz val="11"/>
      <color theme="9" tint="-0.499984740745262"/>
      <name val="Aptos"/>
      <family val="2"/>
    </font>
    <font>
      <sz val="11"/>
      <color theme="9" tint="-0.499984740745262"/>
      <name val="Times New Roman"/>
      <family val="1"/>
    </font>
    <font>
      <sz val="12"/>
      <color theme="9" tint="-0.499984740745262"/>
      <name val="Calibri"/>
      <family val="2"/>
    </font>
    <font>
      <sz val="10"/>
      <color theme="9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/>
  </cellStyleXfs>
  <cellXfs count="1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horizontal="right" vertical="center"/>
    </xf>
    <xf numFmtId="14" fontId="7" fillId="2" borderId="1" xfId="0" applyNumberFormat="1" applyFont="1" applyFill="1" applyBorder="1" applyAlignment="1">
      <alignment vertical="center"/>
    </xf>
    <xf numFmtId="9" fontId="5" fillId="0" borderId="1" xfId="1" applyFont="1" applyBorder="1" applyAlignment="1">
      <alignment horizontal="center"/>
    </xf>
    <xf numFmtId="9" fontId="6" fillId="0" borderId="1" xfId="0" applyNumberFormat="1" applyFont="1" applyBorder="1"/>
    <xf numFmtId="0" fontId="7" fillId="3" borderId="1" xfId="0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/>
    <xf numFmtId="0" fontId="6" fillId="0" borderId="1" xfId="0" applyFont="1" applyBorder="1"/>
    <xf numFmtId="0" fontId="8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9" fontId="0" fillId="0" borderId="0" xfId="0" applyNumberFormat="1"/>
    <xf numFmtId="0" fontId="4" fillId="0" borderId="0" xfId="0" applyFont="1"/>
    <xf numFmtId="0" fontId="9" fillId="2" borderId="1" xfId="0" applyFont="1" applyFill="1" applyBorder="1" applyAlignment="1">
      <alignment vertical="center"/>
    </xf>
    <xf numFmtId="9" fontId="4" fillId="0" borderId="0" xfId="0" applyNumberFormat="1" applyFont="1"/>
    <xf numFmtId="164" fontId="1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1" xfId="0" applyFont="1" applyBorder="1"/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vertical="center"/>
    </xf>
    <xf numFmtId="14" fontId="7" fillId="0" borderId="1" xfId="0" applyNumberFormat="1" applyFont="1" applyBorder="1" applyAlignment="1">
      <alignment horizontal="right" vertical="center"/>
    </xf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14" fontId="4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3" fillId="0" borderId="1" xfId="0" applyFont="1" applyBorder="1"/>
    <xf numFmtId="16" fontId="7" fillId="0" borderId="1" xfId="0" applyNumberFormat="1" applyFont="1" applyBorder="1" applyAlignment="1">
      <alignment horizontal="right" vertical="center"/>
    </xf>
    <xf numFmtId="9" fontId="5" fillId="0" borderId="2" xfId="1" applyFont="1" applyBorder="1" applyAlignment="1">
      <alignment horizontal="center"/>
    </xf>
    <xf numFmtId="9" fontId="5" fillId="3" borderId="2" xfId="1" applyFont="1" applyFill="1" applyBorder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9" fontId="5" fillId="0" borderId="3" xfId="1" applyFont="1" applyBorder="1" applyAlignment="1">
      <alignment horizontal="center"/>
    </xf>
    <xf numFmtId="0" fontId="0" fillId="4" borderId="1" xfId="0" applyFill="1" applyBorder="1"/>
    <xf numFmtId="9" fontId="0" fillId="0" borderId="1" xfId="0" applyNumberFormat="1" applyBorder="1"/>
    <xf numFmtId="0" fontId="14" fillId="2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/>
    <xf numFmtId="14" fontId="14" fillId="2" borderId="1" xfId="0" applyNumberFormat="1" applyFont="1" applyFill="1" applyBorder="1" applyAlignment="1">
      <alignment horizontal="right" vertical="center"/>
    </xf>
    <xf numFmtId="17" fontId="14" fillId="2" borderId="1" xfId="0" applyNumberFormat="1" applyFont="1" applyFill="1" applyBorder="1" applyAlignment="1">
      <alignment horizontal="right" vertical="center"/>
    </xf>
    <xf numFmtId="16" fontId="0" fillId="0" borderId="4" xfId="0" applyNumberFormat="1" applyBorder="1"/>
    <xf numFmtId="0" fontId="0" fillId="5" borderId="1" xfId="0" applyFill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" fontId="16" fillId="0" borderId="0" xfId="0" applyNumberFormat="1" applyFont="1"/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6" fontId="0" fillId="0" borderId="0" xfId="0" applyNumberFormat="1"/>
    <xf numFmtId="0" fontId="14" fillId="2" borderId="0" xfId="0" applyFont="1" applyFill="1" applyAlignment="1">
      <alignment vertical="center"/>
    </xf>
    <xf numFmtId="0" fontId="0" fillId="5" borderId="0" xfId="0" applyFill="1"/>
    <xf numFmtId="9" fontId="20" fillId="0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24" fillId="0" borderId="0" xfId="0" applyFont="1" applyAlignment="1">
      <alignment horizontal="center"/>
    </xf>
    <xf numFmtId="16" fontId="24" fillId="0" borderId="0" xfId="0" applyNumberFormat="1" applyFont="1"/>
    <xf numFmtId="0" fontId="23" fillId="2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4" fillId="0" borderId="0" xfId="0" applyFont="1"/>
    <xf numFmtId="0" fontId="27" fillId="2" borderId="1" xfId="0" applyFont="1" applyFill="1" applyBorder="1" applyAlignment="1">
      <alignment horizontal="center" vertical="center"/>
    </xf>
    <xf numFmtId="9" fontId="28" fillId="0" borderId="1" xfId="1" applyFont="1" applyBorder="1" applyAlignment="1">
      <alignment horizontal="center" vertical="center"/>
    </xf>
    <xf numFmtId="9" fontId="28" fillId="4" borderId="1" xfId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16" fontId="24" fillId="0" borderId="1" xfId="0" applyNumberFormat="1" applyFont="1" applyBorder="1"/>
    <xf numFmtId="0" fontId="31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4" fillId="0" borderId="1" xfId="0" applyFont="1" applyBorder="1"/>
    <xf numFmtId="0" fontId="24" fillId="0" borderId="5" xfId="0" applyFont="1" applyBorder="1"/>
    <xf numFmtId="0" fontId="32" fillId="0" borderId="1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9" fontId="33" fillId="0" borderId="1" xfId="1" applyFont="1" applyBorder="1" applyAlignment="1">
      <alignment horizontal="center" vertical="center"/>
    </xf>
    <xf numFmtId="9" fontId="34" fillId="0" borderId="1" xfId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9" fontId="34" fillId="4" borderId="1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9" fontId="0" fillId="0" borderId="1" xfId="1" applyFont="1" applyBorder="1"/>
    <xf numFmtId="0" fontId="14" fillId="2" borderId="6" xfId="0" applyFont="1" applyFill="1" applyBorder="1" applyAlignment="1">
      <alignment vertical="center"/>
    </xf>
    <xf numFmtId="0" fontId="35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4" fontId="35" fillId="0" borderId="1" xfId="0" applyNumberFormat="1" applyFont="1" applyBorder="1" applyAlignment="1">
      <alignment horizontal="right" vertical="center" wrapText="1"/>
    </xf>
    <xf numFmtId="0" fontId="36" fillId="0" borderId="0" xfId="0" applyFont="1"/>
    <xf numFmtId="16" fontId="36" fillId="0" borderId="0" xfId="0" applyNumberFormat="1" applyFont="1"/>
    <xf numFmtId="0" fontId="37" fillId="0" borderId="1" xfId="0" applyFont="1" applyBorder="1" applyAlignment="1">
      <alignment vertical="center" wrapText="1"/>
    </xf>
    <xf numFmtId="0" fontId="38" fillId="0" borderId="2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14" fontId="37" fillId="0" borderId="1" xfId="0" applyNumberFormat="1" applyFont="1" applyBorder="1" applyAlignment="1">
      <alignment horizontal="right" vertical="center" wrapText="1"/>
    </xf>
    <xf numFmtId="16" fontId="36" fillId="0" borderId="1" xfId="0" applyNumberFormat="1" applyFont="1" applyBorder="1"/>
    <xf numFmtId="0" fontId="39" fillId="2" borderId="1" xfId="0" applyFont="1" applyFill="1" applyBorder="1" applyAlignment="1">
      <alignment vertical="center"/>
    </xf>
    <xf numFmtId="0" fontId="36" fillId="0" borderId="1" xfId="0" applyFont="1" applyBorder="1"/>
    <xf numFmtId="0" fontId="36" fillId="5" borderId="0" xfId="0" applyFont="1" applyFill="1"/>
    <xf numFmtId="0" fontId="40" fillId="0" borderId="1" xfId="0" applyFont="1" applyBorder="1"/>
    <xf numFmtId="14" fontId="39" fillId="2" borderId="2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right" vertical="center" wrapText="1"/>
    </xf>
    <xf numFmtId="0" fontId="35" fillId="0" borderId="1" xfId="0" applyFont="1" applyBorder="1" applyAlignment="1">
      <alignment horizontal="right" vertical="center" wrapText="1"/>
    </xf>
    <xf numFmtId="164" fontId="36" fillId="0" borderId="1" xfId="0" applyNumberFormat="1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"/>
  <sheetViews>
    <sheetView topLeftCell="A31" zoomScale="85" zoomScaleNormal="85" workbookViewId="0">
      <selection activeCell="C70" sqref="C70"/>
    </sheetView>
  </sheetViews>
  <sheetFormatPr baseColWidth="10" defaultColWidth="20.7109375" defaultRowHeight="15" x14ac:dyDescent="0.25"/>
  <cols>
    <col min="1" max="1" width="50" customWidth="1"/>
    <col min="2" max="2" width="20.7109375" customWidth="1"/>
    <col min="3" max="3" width="20.7109375" style="21" customWidth="1"/>
    <col min="5" max="5" width="35" customWidth="1"/>
    <col min="6" max="6" width="32.7109375" customWidth="1"/>
    <col min="7" max="7" width="53.140625" customWidth="1"/>
    <col min="8" max="8" width="29.85546875" customWidth="1"/>
    <col min="9" max="9" width="28.85546875" customWidth="1"/>
    <col min="10" max="10" width="47" customWidth="1"/>
    <col min="11" max="11" width="28.140625" customWidth="1"/>
    <col min="12" max="12" width="26.140625" customWidth="1"/>
    <col min="13" max="13" width="26.42578125" customWidth="1"/>
    <col min="14" max="14" width="23.140625" customWidth="1"/>
    <col min="17" max="17" width="29.5703125" customWidth="1"/>
    <col min="24" max="24" width="17.28515625" customWidth="1"/>
  </cols>
  <sheetData>
    <row r="1" spans="1:31" ht="35.1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1" t="s">
        <v>26</v>
      </c>
      <c r="AB1" s="97" t="s">
        <v>27</v>
      </c>
      <c r="AC1" s="1" t="s">
        <v>28</v>
      </c>
      <c r="AD1" s="1" t="s">
        <v>29</v>
      </c>
      <c r="AE1" s="1" t="s">
        <v>415</v>
      </c>
    </row>
    <row r="2" spans="1:31" x14ac:dyDescent="0.25">
      <c r="A2" s="28" t="s">
        <v>30</v>
      </c>
      <c r="B2" s="69" t="s">
        <v>31</v>
      </c>
      <c r="C2" s="29">
        <v>1</v>
      </c>
      <c r="D2" s="28">
        <v>46194</v>
      </c>
      <c r="E2" s="3" t="s">
        <v>32</v>
      </c>
      <c r="F2" s="30" t="s">
        <v>33</v>
      </c>
      <c r="G2" s="30" t="s">
        <v>34</v>
      </c>
      <c r="H2" s="30" t="s">
        <v>35</v>
      </c>
      <c r="I2" s="30" t="s">
        <v>36</v>
      </c>
      <c r="J2" s="30" t="s">
        <v>37</v>
      </c>
      <c r="K2" s="30" t="s">
        <v>38</v>
      </c>
      <c r="L2" s="30" t="s">
        <v>39</v>
      </c>
      <c r="M2" s="30" t="s">
        <v>40</v>
      </c>
      <c r="N2" s="30" t="s">
        <v>41</v>
      </c>
      <c r="O2" s="30" t="s">
        <v>42</v>
      </c>
      <c r="P2" s="30" t="s">
        <v>43</v>
      </c>
      <c r="Q2" s="3" t="s">
        <v>44</v>
      </c>
      <c r="R2" s="14" t="s">
        <v>45</v>
      </c>
      <c r="S2" s="69" t="s">
        <v>46</v>
      </c>
      <c r="T2" s="3" t="s">
        <v>47</v>
      </c>
      <c r="U2" s="3" t="s">
        <v>48</v>
      </c>
      <c r="V2" s="3">
        <v>31052026</v>
      </c>
      <c r="W2" s="4">
        <v>46173</v>
      </c>
      <c r="X2" s="13"/>
      <c r="Y2" s="4">
        <v>46187</v>
      </c>
      <c r="Z2" s="69">
        <v>230426</v>
      </c>
      <c r="AA2" s="41">
        <v>0.73802681992337205</v>
      </c>
      <c r="AB2" s="15">
        <f t="shared" ref="AB2:AB24" si="0">1-AA2</f>
        <v>0.26197318007662795</v>
      </c>
      <c r="AC2" t="s">
        <v>49</v>
      </c>
      <c r="AD2" s="7" t="s">
        <v>50</v>
      </c>
    </row>
    <row r="3" spans="1:31" x14ac:dyDescent="0.25">
      <c r="A3" s="28"/>
      <c r="B3" s="69"/>
      <c r="C3" s="29">
        <v>11</v>
      </c>
      <c r="D3" s="28">
        <v>46194</v>
      </c>
      <c r="E3" s="8" t="s">
        <v>51</v>
      </c>
      <c r="F3" s="30" t="s">
        <v>33</v>
      </c>
      <c r="G3" s="30" t="s">
        <v>34</v>
      </c>
      <c r="H3" s="30" t="s">
        <v>35</v>
      </c>
      <c r="I3" s="30" t="s">
        <v>36</v>
      </c>
      <c r="J3" s="30" t="s">
        <v>37</v>
      </c>
      <c r="K3" s="30" t="s">
        <v>38</v>
      </c>
      <c r="L3" s="30" t="s">
        <v>39</v>
      </c>
      <c r="M3" s="30" t="s">
        <v>40</v>
      </c>
      <c r="N3" s="30" t="s">
        <v>41</v>
      </c>
      <c r="O3" s="30" t="s">
        <v>42</v>
      </c>
      <c r="P3" s="30" t="s">
        <v>43</v>
      </c>
      <c r="Q3" s="8" t="s">
        <v>52</v>
      </c>
      <c r="R3" s="31"/>
      <c r="S3" s="69" t="s">
        <v>46</v>
      </c>
      <c r="T3" s="8" t="s">
        <v>53</v>
      </c>
      <c r="U3" s="8" t="s">
        <v>54</v>
      </c>
      <c r="V3" s="8" t="s">
        <v>55</v>
      </c>
      <c r="W3" s="9">
        <v>46175</v>
      </c>
      <c r="X3" s="32">
        <v>70947</v>
      </c>
      <c r="Y3" s="9">
        <v>46182</v>
      </c>
      <c r="Z3" s="69">
        <v>230426</v>
      </c>
      <c r="AA3" s="42">
        <v>0.84312606959498004</v>
      </c>
      <c r="AB3" s="15">
        <f t="shared" si="0"/>
        <v>0.15687393040501996</v>
      </c>
      <c r="AC3" t="s">
        <v>49</v>
      </c>
      <c r="AD3" s="7" t="s">
        <v>56</v>
      </c>
    </row>
    <row r="4" spans="1:31" x14ac:dyDescent="0.25">
      <c r="A4" s="28"/>
      <c r="B4" s="69"/>
      <c r="C4" s="29">
        <v>2</v>
      </c>
      <c r="D4" s="28">
        <v>46194</v>
      </c>
      <c r="E4" s="3" t="s">
        <v>57</v>
      </c>
      <c r="F4" s="30" t="s">
        <v>33</v>
      </c>
      <c r="G4" s="30" t="s">
        <v>34</v>
      </c>
      <c r="H4" s="30" t="s">
        <v>35</v>
      </c>
      <c r="I4" s="30" t="s">
        <v>36</v>
      </c>
      <c r="J4" s="30" t="s">
        <v>37</v>
      </c>
      <c r="K4" s="30" t="s">
        <v>58</v>
      </c>
      <c r="L4" s="30" t="s">
        <v>39</v>
      </c>
      <c r="M4" s="30" t="s">
        <v>40</v>
      </c>
      <c r="N4" s="30" t="s">
        <v>59</v>
      </c>
      <c r="O4" s="30" t="s">
        <v>42</v>
      </c>
      <c r="P4" s="30" t="s">
        <v>60</v>
      </c>
      <c r="Q4" s="3" t="s">
        <v>44</v>
      </c>
      <c r="R4" s="14" t="s">
        <v>61</v>
      </c>
      <c r="S4" s="69" t="s">
        <v>46</v>
      </c>
      <c r="T4" s="3" t="s">
        <v>47</v>
      </c>
      <c r="U4" s="3" t="s">
        <v>48</v>
      </c>
      <c r="V4" s="3">
        <v>31052026</v>
      </c>
      <c r="W4" s="4">
        <v>46173</v>
      </c>
      <c r="X4" s="13"/>
      <c r="Y4" s="4">
        <v>46187</v>
      </c>
      <c r="Z4" s="69">
        <v>230426</v>
      </c>
      <c r="AA4" s="41">
        <v>0.62643965948923397</v>
      </c>
      <c r="AB4" s="15">
        <f t="shared" si="0"/>
        <v>0.37356034051076603</v>
      </c>
      <c r="AC4" t="s">
        <v>49</v>
      </c>
      <c r="AD4" s="7" t="s">
        <v>62</v>
      </c>
    </row>
    <row r="5" spans="1:31" x14ac:dyDescent="0.25">
      <c r="A5" s="28"/>
      <c r="B5" s="69"/>
      <c r="C5" s="29">
        <v>12</v>
      </c>
      <c r="D5" s="28">
        <v>46194</v>
      </c>
      <c r="E5" s="8" t="s">
        <v>63</v>
      </c>
      <c r="F5" s="30" t="s">
        <v>33</v>
      </c>
      <c r="G5" s="30" t="s">
        <v>34</v>
      </c>
      <c r="H5" s="30" t="s">
        <v>35</v>
      </c>
      <c r="I5" s="30" t="s">
        <v>36</v>
      </c>
      <c r="J5" s="30" t="s">
        <v>37</v>
      </c>
      <c r="K5" s="30" t="s">
        <v>58</v>
      </c>
      <c r="L5" s="30" t="s">
        <v>39</v>
      </c>
      <c r="M5" s="30" t="s">
        <v>40</v>
      </c>
      <c r="N5" s="30" t="s">
        <v>59</v>
      </c>
      <c r="O5" s="30" t="s">
        <v>42</v>
      </c>
      <c r="P5" s="30" t="s">
        <v>60</v>
      </c>
      <c r="Q5" s="8" t="s">
        <v>64</v>
      </c>
      <c r="R5" s="31"/>
      <c r="S5" s="69" t="s">
        <v>46</v>
      </c>
      <c r="T5" s="8" t="s">
        <v>65</v>
      </c>
      <c r="U5" s="8" t="s">
        <v>66</v>
      </c>
      <c r="V5" s="8" t="s">
        <v>67</v>
      </c>
      <c r="W5" s="9">
        <v>46175</v>
      </c>
      <c r="X5" s="32">
        <v>70954</v>
      </c>
      <c r="Y5" s="9">
        <v>46182</v>
      </c>
      <c r="Z5" s="69">
        <v>230426</v>
      </c>
      <c r="AA5" s="42">
        <v>0.75301204819277101</v>
      </c>
      <c r="AB5" s="15">
        <f t="shared" si="0"/>
        <v>0.24698795180722899</v>
      </c>
      <c r="AC5" t="s">
        <v>49</v>
      </c>
      <c r="AD5" s="7" t="s">
        <v>50</v>
      </c>
    </row>
    <row r="6" spans="1:31" x14ac:dyDescent="0.25">
      <c r="A6" s="28"/>
      <c r="B6" s="69"/>
      <c r="C6" s="29">
        <v>3</v>
      </c>
      <c r="D6" s="28">
        <v>46194</v>
      </c>
      <c r="E6" s="3" t="s">
        <v>68</v>
      </c>
      <c r="F6" s="30" t="s">
        <v>33</v>
      </c>
      <c r="G6" s="30" t="s">
        <v>34</v>
      </c>
      <c r="H6" s="30" t="s">
        <v>35</v>
      </c>
      <c r="I6" s="30" t="s">
        <v>36</v>
      </c>
      <c r="J6" s="30" t="s">
        <v>37</v>
      </c>
      <c r="K6" s="30" t="s">
        <v>69</v>
      </c>
      <c r="L6" s="30" t="s">
        <v>39</v>
      </c>
      <c r="M6" s="30" t="s">
        <v>40</v>
      </c>
      <c r="N6" s="30" t="s">
        <v>70</v>
      </c>
      <c r="O6" s="30" t="s">
        <v>42</v>
      </c>
      <c r="P6" s="30" t="s">
        <v>71</v>
      </c>
      <c r="Q6" s="3" t="s">
        <v>72</v>
      </c>
      <c r="R6" s="14" t="s">
        <v>73</v>
      </c>
      <c r="S6" s="69" t="s">
        <v>46</v>
      </c>
      <c r="T6" s="3" t="s">
        <v>74</v>
      </c>
      <c r="U6" s="3" t="s">
        <v>75</v>
      </c>
      <c r="V6" s="3" t="s">
        <v>76</v>
      </c>
      <c r="W6" s="5">
        <v>46179</v>
      </c>
      <c r="X6" s="13"/>
      <c r="Y6" s="5">
        <v>46191</v>
      </c>
      <c r="Z6" s="69">
        <v>230426</v>
      </c>
      <c r="AA6" s="41">
        <v>0.58700102354145345</v>
      </c>
      <c r="AB6" s="15">
        <f t="shared" si="0"/>
        <v>0.41299897645854655</v>
      </c>
      <c r="AC6" t="s">
        <v>49</v>
      </c>
      <c r="AD6" s="7" t="s">
        <v>62</v>
      </c>
    </row>
    <row r="7" spans="1:31" x14ac:dyDescent="0.25">
      <c r="A7" s="28"/>
      <c r="B7" s="69"/>
      <c r="C7" s="29">
        <v>13</v>
      </c>
      <c r="D7" s="28">
        <v>46194</v>
      </c>
      <c r="E7" s="8" t="s">
        <v>77</v>
      </c>
      <c r="F7" s="30" t="s">
        <v>33</v>
      </c>
      <c r="G7" s="30" t="s">
        <v>34</v>
      </c>
      <c r="H7" s="30" t="s">
        <v>35</v>
      </c>
      <c r="I7" s="30" t="s">
        <v>36</v>
      </c>
      <c r="J7" s="30" t="s">
        <v>37</v>
      </c>
      <c r="K7" s="30" t="s">
        <v>69</v>
      </c>
      <c r="L7" s="30" t="s">
        <v>39</v>
      </c>
      <c r="M7" s="30" t="s">
        <v>40</v>
      </c>
      <c r="N7" s="30" t="s">
        <v>70</v>
      </c>
      <c r="O7" s="30" t="s">
        <v>42</v>
      </c>
      <c r="P7" s="30" t="s">
        <v>71</v>
      </c>
      <c r="Q7" s="8" t="s">
        <v>52</v>
      </c>
      <c r="R7" s="31"/>
      <c r="S7" s="69" t="s">
        <v>46</v>
      </c>
      <c r="T7" s="8" t="s">
        <v>53</v>
      </c>
      <c r="U7" s="8" t="s">
        <v>54</v>
      </c>
      <c r="V7" s="8" t="s">
        <v>78</v>
      </c>
      <c r="W7" s="10">
        <v>46182</v>
      </c>
      <c r="X7" s="32">
        <v>70946</v>
      </c>
      <c r="Y7" s="10">
        <v>46189</v>
      </c>
      <c r="Z7" s="69">
        <v>230426</v>
      </c>
      <c r="AA7" s="42">
        <v>0.84763390535621397</v>
      </c>
      <c r="AB7" s="15">
        <f t="shared" si="0"/>
        <v>0.15236609464378603</v>
      </c>
      <c r="AC7" t="s">
        <v>49</v>
      </c>
      <c r="AD7" s="7" t="s">
        <v>50</v>
      </c>
    </row>
    <row r="8" spans="1:31" x14ac:dyDescent="0.25">
      <c r="A8" s="28"/>
      <c r="B8" s="69"/>
      <c r="C8" s="29">
        <v>4</v>
      </c>
      <c r="D8" s="28">
        <v>46194</v>
      </c>
      <c r="E8" s="3" t="s">
        <v>79</v>
      </c>
      <c r="F8" s="30" t="s">
        <v>33</v>
      </c>
      <c r="G8" s="30" t="s">
        <v>34</v>
      </c>
      <c r="H8" s="30" t="s">
        <v>35</v>
      </c>
      <c r="I8" s="30" t="s">
        <v>36</v>
      </c>
      <c r="J8" s="30" t="s">
        <v>37</v>
      </c>
      <c r="K8" s="30" t="s">
        <v>80</v>
      </c>
      <c r="L8" s="30" t="s">
        <v>39</v>
      </c>
      <c r="M8" s="30" t="s">
        <v>40</v>
      </c>
      <c r="N8" s="30" t="s">
        <v>81</v>
      </c>
      <c r="O8" s="30" t="s">
        <v>42</v>
      </c>
      <c r="P8" s="30" t="s">
        <v>82</v>
      </c>
      <c r="Q8" s="3" t="s">
        <v>72</v>
      </c>
      <c r="R8" s="14" t="s">
        <v>83</v>
      </c>
      <c r="S8" s="69" t="s">
        <v>46</v>
      </c>
      <c r="T8" s="3" t="s">
        <v>74</v>
      </c>
      <c r="U8" s="3" t="s">
        <v>75</v>
      </c>
      <c r="V8" s="3" t="s">
        <v>76</v>
      </c>
      <c r="W8" s="5">
        <v>46179</v>
      </c>
      <c r="X8" s="13"/>
      <c r="Y8" s="5">
        <v>46191</v>
      </c>
      <c r="Z8" s="69">
        <v>230426</v>
      </c>
      <c r="AA8" s="41">
        <v>0.56051873198847257</v>
      </c>
      <c r="AB8" s="15">
        <f t="shared" si="0"/>
        <v>0.43948126801152743</v>
      </c>
      <c r="AC8" t="s">
        <v>49</v>
      </c>
      <c r="AD8" s="7" t="s">
        <v>62</v>
      </c>
    </row>
    <row r="9" spans="1:31" x14ac:dyDescent="0.25">
      <c r="A9" s="28"/>
      <c r="B9" s="69"/>
      <c r="C9" s="29">
        <v>14</v>
      </c>
      <c r="D9" s="28">
        <v>46194</v>
      </c>
      <c r="E9" s="8" t="s">
        <v>84</v>
      </c>
      <c r="F9" s="30" t="s">
        <v>33</v>
      </c>
      <c r="G9" s="30" t="s">
        <v>34</v>
      </c>
      <c r="H9" s="30" t="s">
        <v>35</v>
      </c>
      <c r="I9" s="30" t="s">
        <v>36</v>
      </c>
      <c r="J9" s="30" t="s">
        <v>37</v>
      </c>
      <c r="K9" s="30" t="s">
        <v>80</v>
      </c>
      <c r="L9" s="30" t="s">
        <v>39</v>
      </c>
      <c r="M9" s="30" t="s">
        <v>40</v>
      </c>
      <c r="N9" s="30" t="s">
        <v>81</v>
      </c>
      <c r="O9" s="30" t="s">
        <v>42</v>
      </c>
      <c r="P9" s="30" t="s">
        <v>82</v>
      </c>
      <c r="Q9" s="8" t="s">
        <v>64</v>
      </c>
      <c r="R9" s="31"/>
      <c r="S9" s="69" t="s">
        <v>46</v>
      </c>
      <c r="T9" s="8" t="s">
        <v>53</v>
      </c>
      <c r="U9" s="8" t="s">
        <v>54</v>
      </c>
      <c r="V9" s="8" t="s">
        <v>85</v>
      </c>
      <c r="W9" s="10">
        <v>46183</v>
      </c>
      <c r="X9" s="32">
        <v>72152.41</v>
      </c>
      <c r="Y9" s="10">
        <v>46190</v>
      </c>
      <c r="Z9" s="69">
        <v>230426</v>
      </c>
      <c r="AA9" s="42">
        <v>0.76254180602006694</v>
      </c>
      <c r="AB9" s="15">
        <f t="shared" si="0"/>
        <v>0.23745819397993306</v>
      </c>
      <c r="AC9" t="s">
        <v>49</v>
      </c>
      <c r="AD9" s="7" t="s">
        <v>86</v>
      </c>
    </row>
    <row r="10" spans="1:31" s="16" customFormat="1" x14ac:dyDescent="0.25">
      <c r="A10" s="28"/>
      <c r="B10" s="33"/>
      <c r="C10" s="34">
        <v>0</v>
      </c>
      <c r="D10" s="28">
        <v>46194</v>
      </c>
      <c r="E10" s="17" t="s">
        <v>87</v>
      </c>
      <c r="F10" s="35" t="s">
        <v>33</v>
      </c>
      <c r="G10" s="35" t="s">
        <v>34</v>
      </c>
      <c r="H10" s="35" t="s">
        <v>35</v>
      </c>
      <c r="I10" s="35" t="s">
        <v>36</v>
      </c>
      <c r="J10" s="35" t="s">
        <v>37</v>
      </c>
      <c r="K10" s="36" t="s">
        <v>88</v>
      </c>
      <c r="L10" s="35" t="s">
        <v>39</v>
      </c>
      <c r="M10" s="35" t="s">
        <v>40</v>
      </c>
      <c r="N10" s="36" t="s">
        <v>89</v>
      </c>
      <c r="O10" s="30" t="s">
        <v>42</v>
      </c>
      <c r="P10" s="36" t="s">
        <v>90</v>
      </c>
      <c r="Q10" s="33" t="s">
        <v>91</v>
      </c>
      <c r="R10" s="14"/>
      <c r="S10" s="69" t="s">
        <v>46</v>
      </c>
      <c r="T10" s="3"/>
      <c r="U10" s="33" t="s">
        <v>53</v>
      </c>
      <c r="V10" s="3"/>
      <c r="W10" s="17"/>
      <c r="X10" s="33" t="s">
        <v>92</v>
      </c>
      <c r="Y10" s="3"/>
      <c r="Z10" s="69">
        <v>230426</v>
      </c>
      <c r="AA10" s="41">
        <v>0.91697127937336809</v>
      </c>
      <c r="AB10" s="18">
        <f t="shared" si="0"/>
        <v>8.3028720626631913E-2</v>
      </c>
      <c r="AC10" s="16" t="s">
        <v>49</v>
      </c>
      <c r="AD10" s="7" t="s">
        <v>56</v>
      </c>
    </row>
    <row r="11" spans="1:31" x14ac:dyDescent="0.25">
      <c r="A11" s="28"/>
      <c r="B11" s="69"/>
      <c r="C11" s="29">
        <v>21</v>
      </c>
      <c r="D11" s="28">
        <v>46201</v>
      </c>
      <c r="E11" s="3" t="s">
        <v>93</v>
      </c>
      <c r="F11" s="30" t="s">
        <v>33</v>
      </c>
      <c r="G11" s="30" t="s">
        <v>34</v>
      </c>
      <c r="H11" s="30" t="s">
        <v>35</v>
      </c>
      <c r="I11" s="30" t="s">
        <v>36</v>
      </c>
      <c r="J11" s="30" t="s">
        <v>37</v>
      </c>
      <c r="K11" s="30" t="s">
        <v>94</v>
      </c>
      <c r="L11" s="30" t="s">
        <v>39</v>
      </c>
      <c r="M11" s="30" t="s">
        <v>40</v>
      </c>
      <c r="N11" s="30" t="s">
        <v>95</v>
      </c>
      <c r="O11" s="30" t="s">
        <v>42</v>
      </c>
      <c r="P11" s="30" t="s">
        <v>96</v>
      </c>
      <c r="Q11" s="3" t="s">
        <v>97</v>
      </c>
      <c r="R11" s="14"/>
      <c r="S11" s="69" t="s">
        <v>46</v>
      </c>
      <c r="T11" s="3" t="s">
        <v>98</v>
      </c>
      <c r="U11" s="3" t="s">
        <v>99</v>
      </c>
      <c r="V11" s="3"/>
      <c r="W11" s="3"/>
      <c r="X11" s="3"/>
      <c r="Y11" s="3"/>
      <c r="Z11" s="33">
        <v>100626</v>
      </c>
      <c r="AA11" s="43">
        <v>0.66513527309851972</v>
      </c>
      <c r="AB11" s="15">
        <f t="shared" si="0"/>
        <v>0.33486472690148028</v>
      </c>
      <c r="AC11" t="s">
        <v>49</v>
      </c>
      <c r="AD11" s="19" t="s">
        <v>50</v>
      </c>
    </row>
    <row r="12" spans="1:31" x14ac:dyDescent="0.25">
      <c r="A12" s="28"/>
      <c r="B12" s="69"/>
      <c r="C12" s="29">
        <v>22</v>
      </c>
      <c r="D12" s="28">
        <v>46201</v>
      </c>
      <c r="E12" s="3" t="s">
        <v>100</v>
      </c>
      <c r="F12" s="30" t="s">
        <v>33</v>
      </c>
      <c r="G12" s="30" t="s">
        <v>34</v>
      </c>
      <c r="H12" s="30" t="s">
        <v>35</v>
      </c>
      <c r="I12" s="30" t="s">
        <v>36</v>
      </c>
      <c r="J12" s="30" t="s">
        <v>37</v>
      </c>
      <c r="K12" s="30" t="s">
        <v>94</v>
      </c>
      <c r="L12" s="30" t="s">
        <v>39</v>
      </c>
      <c r="M12" s="30" t="s">
        <v>40</v>
      </c>
      <c r="N12" s="30" t="s">
        <v>95</v>
      </c>
      <c r="O12" s="30" t="s">
        <v>42</v>
      </c>
      <c r="P12" s="30" t="s">
        <v>96</v>
      </c>
      <c r="Q12" s="3" t="s">
        <v>97</v>
      </c>
      <c r="R12" s="37"/>
      <c r="S12" s="69" t="s">
        <v>46</v>
      </c>
      <c r="T12" s="3"/>
      <c r="U12" s="3" t="s">
        <v>99</v>
      </c>
      <c r="V12" s="12"/>
      <c r="W12" s="12"/>
      <c r="X12" s="3"/>
      <c r="Y12" s="12"/>
      <c r="Z12" s="69">
        <v>100626</v>
      </c>
      <c r="AA12" s="44">
        <v>0.56144890038809825</v>
      </c>
      <c r="AB12" s="15">
        <f t="shared" si="0"/>
        <v>0.43855109961190175</v>
      </c>
      <c r="AC12" t="s">
        <v>49</v>
      </c>
      <c r="AD12" s="11" t="s">
        <v>62</v>
      </c>
    </row>
    <row r="13" spans="1:31" x14ac:dyDescent="0.25">
      <c r="A13" s="28"/>
      <c r="B13" s="69"/>
      <c r="C13" s="29">
        <v>15</v>
      </c>
      <c r="D13" s="28">
        <v>46201</v>
      </c>
      <c r="E13" s="3" t="s">
        <v>101</v>
      </c>
      <c r="F13" s="30" t="s">
        <v>33</v>
      </c>
      <c r="G13" s="30" t="s">
        <v>34</v>
      </c>
      <c r="H13" s="30" t="s">
        <v>35</v>
      </c>
      <c r="I13" s="30" t="s">
        <v>36</v>
      </c>
      <c r="J13" s="30" t="s">
        <v>37</v>
      </c>
      <c r="K13" s="30" t="s">
        <v>94</v>
      </c>
      <c r="L13" s="30" t="s">
        <v>39</v>
      </c>
      <c r="M13" s="30" t="s">
        <v>40</v>
      </c>
      <c r="N13" s="30" t="s">
        <v>95</v>
      </c>
      <c r="O13" s="30" t="s">
        <v>42</v>
      </c>
      <c r="P13" s="30" t="s">
        <v>96</v>
      </c>
      <c r="Q13" s="3" t="s">
        <v>52</v>
      </c>
      <c r="R13" s="38"/>
      <c r="S13" s="69" t="s">
        <v>46</v>
      </c>
      <c r="T13" s="3" t="s">
        <v>47</v>
      </c>
      <c r="U13" s="3" t="s">
        <v>102</v>
      </c>
      <c r="V13" s="3" t="s">
        <v>103</v>
      </c>
      <c r="W13" s="4">
        <v>46188</v>
      </c>
      <c r="X13" s="2">
        <v>72751</v>
      </c>
      <c r="Y13" s="4">
        <v>46195</v>
      </c>
      <c r="Z13" s="69">
        <v>100626</v>
      </c>
      <c r="AA13" s="45">
        <v>0.83281893004115226</v>
      </c>
      <c r="AB13" s="15">
        <f t="shared" si="0"/>
        <v>0.16718106995884774</v>
      </c>
      <c r="AC13" t="s">
        <v>49</v>
      </c>
      <c r="AD13" s="12" t="s">
        <v>50</v>
      </c>
    </row>
    <row r="14" spans="1:31" x14ac:dyDescent="0.25">
      <c r="A14" s="28"/>
      <c r="B14" s="69"/>
      <c r="C14" s="29">
        <v>16</v>
      </c>
      <c r="D14" s="28">
        <v>46201</v>
      </c>
      <c r="E14" s="3" t="s">
        <v>104</v>
      </c>
      <c r="F14" s="30" t="s">
        <v>33</v>
      </c>
      <c r="G14" s="30" t="s">
        <v>34</v>
      </c>
      <c r="H14" s="30" t="s">
        <v>35</v>
      </c>
      <c r="I14" s="30" t="s">
        <v>36</v>
      </c>
      <c r="J14" s="30" t="s">
        <v>37</v>
      </c>
      <c r="K14" s="30" t="s">
        <v>105</v>
      </c>
      <c r="L14" s="30" t="s">
        <v>39</v>
      </c>
      <c r="M14" s="30" t="s">
        <v>40</v>
      </c>
      <c r="N14" s="30" t="s">
        <v>106</v>
      </c>
      <c r="O14" s="30" t="s">
        <v>42</v>
      </c>
      <c r="P14" s="30" t="s">
        <v>107</v>
      </c>
      <c r="Q14" s="3" t="s">
        <v>52</v>
      </c>
      <c r="R14" s="38"/>
      <c r="S14" s="69" t="s">
        <v>46</v>
      </c>
      <c r="T14" s="3" t="s">
        <v>47</v>
      </c>
      <c r="U14" s="3" t="s">
        <v>102</v>
      </c>
      <c r="V14" s="3" t="s">
        <v>103</v>
      </c>
      <c r="W14" s="4">
        <v>46188</v>
      </c>
      <c r="X14" s="2">
        <v>72751</v>
      </c>
      <c r="Y14" s="4">
        <v>46195</v>
      </c>
      <c r="Z14" s="69">
        <v>100626</v>
      </c>
      <c r="AA14" s="45">
        <v>0.81684981684981683</v>
      </c>
      <c r="AB14" s="15">
        <f t="shared" si="0"/>
        <v>0.18315018315018317</v>
      </c>
      <c r="AC14" t="s">
        <v>49</v>
      </c>
      <c r="AD14" s="12" t="s">
        <v>50</v>
      </c>
    </row>
    <row r="15" spans="1:31" x14ac:dyDescent="0.25">
      <c r="A15" s="28" t="s">
        <v>108</v>
      </c>
      <c r="B15" s="69" t="s">
        <v>109</v>
      </c>
      <c r="C15" s="29">
        <v>5</v>
      </c>
      <c r="D15" s="28">
        <v>46201</v>
      </c>
      <c r="E15" s="3" t="s">
        <v>110</v>
      </c>
      <c r="F15" s="30" t="s">
        <v>33</v>
      </c>
      <c r="G15" s="30" t="s">
        <v>34</v>
      </c>
      <c r="H15" s="30" t="s">
        <v>35</v>
      </c>
      <c r="I15" s="30" t="s">
        <v>36</v>
      </c>
      <c r="J15" s="30" t="s">
        <v>37</v>
      </c>
      <c r="K15" s="30" t="s">
        <v>111</v>
      </c>
      <c r="L15" s="30" t="s">
        <v>39</v>
      </c>
      <c r="M15" s="30" t="s">
        <v>40</v>
      </c>
      <c r="N15" s="30" t="s">
        <v>112</v>
      </c>
      <c r="O15" s="30" t="s">
        <v>42</v>
      </c>
      <c r="P15" s="30" t="s">
        <v>113</v>
      </c>
      <c r="Q15" s="3" t="s">
        <v>114</v>
      </c>
      <c r="R15" s="14" t="s">
        <v>115</v>
      </c>
      <c r="S15" s="69" t="s">
        <v>46</v>
      </c>
      <c r="T15" s="3" t="s">
        <v>116</v>
      </c>
      <c r="U15" s="3" t="s">
        <v>117</v>
      </c>
      <c r="V15" s="14">
        <v>20062026</v>
      </c>
      <c r="W15" s="5">
        <v>46193</v>
      </c>
      <c r="X15" s="13"/>
      <c r="Y15" s="5">
        <v>46204</v>
      </c>
      <c r="Z15" s="69">
        <v>100626</v>
      </c>
      <c r="AA15" s="41">
        <v>0.45299952763344359</v>
      </c>
      <c r="AB15" s="15">
        <f t="shared" si="0"/>
        <v>0.54700047236655647</v>
      </c>
      <c r="AC15" t="s">
        <v>49</v>
      </c>
      <c r="AD15" s="7" t="s">
        <v>118</v>
      </c>
    </row>
    <row r="16" spans="1:31" x14ac:dyDescent="0.25">
      <c r="A16" s="28"/>
      <c r="B16" s="69"/>
      <c r="C16" s="29">
        <v>7</v>
      </c>
      <c r="D16" s="28">
        <v>46201</v>
      </c>
      <c r="E16" s="3" t="s">
        <v>119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111</v>
      </c>
      <c r="L16" s="30" t="s">
        <v>39</v>
      </c>
      <c r="M16" s="30" t="s">
        <v>40</v>
      </c>
      <c r="N16" s="30" t="s">
        <v>112</v>
      </c>
      <c r="O16" s="30" t="s">
        <v>42</v>
      </c>
      <c r="P16" s="30" t="s">
        <v>113</v>
      </c>
      <c r="Q16" s="3" t="s">
        <v>120</v>
      </c>
      <c r="R16" s="14" t="s">
        <v>121</v>
      </c>
      <c r="S16" s="69" t="s">
        <v>46</v>
      </c>
      <c r="T16" s="3" t="s">
        <v>47</v>
      </c>
      <c r="U16" s="3" t="s">
        <v>122</v>
      </c>
      <c r="V16" s="3" t="s">
        <v>123</v>
      </c>
      <c r="W16" s="5">
        <v>46193</v>
      </c>
      <c r="X16" s="13"/>
      <c r="Y16" s="5">
        <v>46206</v>
      </c>
      <c r="Z16" s="69">
        <v>100626</v>
      </c>
      <c r="AA16" s="41">
        <v>0.66522157996146447</v>
      </c>
      <c r="AB16" s="15">
        <f t="shared" si="0"/>
        <v>0.33477842003853553</v>
      </c>
      <c r="AC16" t="s">
        <v>49</v>
      </c>
      <c r="AD16" s="7" t="s">
        <v>50</v>
      </c>
    </row>
    <row r="17" spans="1:31" x14ac:dyDescent="0.25">
      <c r="A17" s="28"/>
      <c r="B17" s="69"/>
      <c r="C17" s="29">
        <v>17</v>
      </c>
      <c r="D17" s="28">
        <v>46201</v>
      </c>
      <c r="E17" s="3" t="s">
        <v>124</v>
      </c>
      <c r="F17" s="30" t="s">
        <v>33</v>
      </c>
      <c r="G17" s="30" t="s">
        <v>34</v>
      </c>
      <c r="H17" s="30" t="s">
        <v>35</v>
      </c>
      <c r="I17" s="30" t="s">
        <v>36</v>
      </c>
      <c r="J17" s="30" t="s">
        <v>37</v>
      </c>
      <c r="K17" s="30" t="s">
        <v>111</v>
      </c>
      <c r="L17" s="30" t="s">
        <v>39</v>
      </c>
      <c r="M17" s="30" t="s">
        <v>40</v>
      </c>
      <c r="N17" s="30" t="s">
        <v>112</v>
      </c>
      <c r="O17" s="30" t="s">
        <v>42</v>
      </c>
      <c r="P17" s="30" t="s">
        <v>113</v>
      </c>
      <c r="Q17" s="3" t="s">
        <v>125</v>
      </c>
      <c r="R17" s="38"/>
      <c r="S17" s="69" t="s">
        <v>46</v>
      </c>
      <c r="T17" s="3" t="s">
        <v>53</v>
      </c>
      <c r="U17" s="3" t="s">
        <v>126</v>
      </c>
      <c r="V17" s="3" t="s">
        <v>127</v>
      </c>
      <c r="W17" s="4">
        <v>46195</v>
      </c>
      <c r="X17" s="2">
        <v>70943</v>
      </c>
      <c r="Y17" s="4">
        <v>46202</v>
      </c>
      <c r="Z17" s="69">
        <v>100626</v>
      </c>
      <c r="AA17" s="41">
        <v>0.71815286624203822</v>
      </c>
      <c r="AB17" s="15">
        <f t="shared" si="0"/>
        <v>0.28184713375796178</v>
      </c>
      <c r="AC17" t="s">
        <v>49</v>
      </c>
      <c r="AD17" s="7" t="s">
        <v>50</v>
      </c>
    </row>
    <row r="18" spans="1:31" x14ac:dyDescent="0.25">
      <c r="A18" s="28"/>
      <c r="B18" s="69"/>
      <c r="C18" s="29">
        <v>6</v>
      </c>
      <c r="D18" s="28">
        <v>46201</v>
      </c>
      <c r="E18" s="3" t="s">
        <v>128</v>
      </c>
      <c r="F18" s="30" t="s">
        <v>33</v>
      </c>
      <c r="G18" s="30" t="s">
        <v>34</v>
      </c>
      <c r="H18" s="30" t="s">
        <v>35</v>
      </c>
      <c r="I18" s="30" t="s">
        <v>36</v>
      </c>
      <c r="J18" s="30" t="s">
        <v>37</v>
      </c>
      <c r="K18" s="30" t="s">
        <v>129</v>
      </c>
      <c r="L18" s="30" t="s">
        <v>39</v>
      </c>
      <c r="M18" s="30" t="s">
        <v>40</v>
      </c>
      <c r="N18" s="30" t="s">
        <v>130</v>
      </c>
      <c r="O18" s="30" t="s">
        <v>42</v>
      </c>
      <c r="P18" s="30" t="s">
        <v>131</v>
      </c>
      <c r="Q18" s="3" t="s">
        <v>114</v>
      </c>
      <c r="R18" s="38" t="s">
        <v>132</v>
      </c>
      <c r="S18" s="69" t="s">
        <v>46</v>
      </c>
      <c r="T18" s="3" t="s">
        <v>116</v>
      </c>
      <c r="U18" s="3" t="s">
        <v>117</v>
      </c>
      <c r="V18" s="3">
        <v>20062026</v>
      </c>
      <c r="W18" s="4">
        <v>46193</v>
      </c>
      <c r="X18" s="2"/>
      <c r="Y18" s="4">
        <v>46204</v>
      </c>
      <c r="Z18" s="69">
        <v>2606026</v>
      </c>
      <c r="AA18" s="44">
        <v>0.50326086956521754</v>
      </c>
      <c r="AB18" s="15">
        <f t="shared" si="0"/>
        <v>0.49673913043478246</v>
      </c>
      <c r="AC18" t="s">
        <v>49</v>
      </c>
      <c r="AD18" s="12" t="s">
        <v>118</v>
      </c>
    </row>
    <row r="19" spans="1:31" x14ac:dyDescent="0.25">
      <c r="A19" s="28"/>
      <c r="B19" s="69"/>
      <c r="C19" s="29">
        <v>8</v>
      </c>
      <c r="D19" s="28">
        <v>46201</v>
      </c>
      <c r="E19" s="3" t="s">
        <v>133</v>
      </c>
      <c r="F19" s="30" t="s">
        <v>33</v>
      </c>
      <c r="G19" s="30" t="s">
        <v>34</v>
      </c>
      <c r="H19" s="30" t="s">
        <v>35</v>
      </c>
      <c r="I19" s="30" t="s">
        <v>36</v>
      </c>
      <c r="J19" s="30" t="s">
        <v>37</v>
      </c>
      <c r="K19" s="30" t="s">
        <v>129</v>
      </c>
      <c r="L19" s="30" t="s">
        <v>39</v>
      </c>
      <c r="M19" s="30" t="s">
        <v>40</v>
      </c>
      <c r="N19" s="30" t="s">
        <v>130</v>
      </c>
      <c r="O19" s="30" t="s">
        <v>42</v>
      </c>
      <c r="P19" s="30" t="s">
        <v>131</v>
      </c>
      <c r="Q19" s="3" t="s">
        <v>120</v>
      </c>
      <c r="R19" s="38" t="s">
        <v>134</v>
      </c>
      <c r="S19" s="69" t="s">
        <v>46</v>
      </c>
      <c r="T19" s="3" t="s">
        <v>47</v>
      </c>
      <c r="U19" s="3" t="s">
        <v>122</v>
      </c>
      <c r="V19" s="3" t="s">
        <v>123</v>
      </c>
      <c r="W19" s="4">
        <v>46193</v>
      </c>
      <c r="X19" s="2"/>
      <c r="Y19" s="4">
        <v>46206</v>
      </c>
      <c r="Z19" s="69">
        <v>2606026</v>
      </c>
      <c r="AA19" s="44">
        <v>0.46431924882629089</v>
      </c>
      <c r="AB19" s="15">
        <f t="shared" si="0"/>
        <v>0.53568075117370917</v>
      </c>
      <c r="AC19" t="s">
        <v>49</v>
      </c>
      <c r="AD19" s="12" t="s">
        <v>118</v>
      </c>
    </row>
    <row r="20" spans="1:31" x14ac:dyDescent="0.25">
      <c r="A20" s="69"/>
      <c r="B20" s="69"/>
      <c r="C20" s="29">
        <v>18</v>
      </c>
      <c r="D20" s="28">
        <v>46201</v>
      </c>
      <c r="E20" s="3" t="s">
        <v>135</v>
      </c>
      <c r="F20" s="30" t="s">
        <v>33</v>
      </c>
      <c r="G20" s="30" t="s">
        <v>34</v>
      </c>
      <c r="H20" s="30" t="s">
        <v>35</v>
      </c>
      <c r="I20" s="30" t="s">
        <v>36</v>
      </c>
      <c r="J20" s="30" t="s">
        <v>37</v>
      </c>
      <c r="K20" s="30" t="s">
        <v>129</v>
      </c>
      <c r="L20" s="30" t="s">
        <v>39</v>
      </c>
      <c r="M20" s="30" t="s">
        <v>40</v>
      </c>
      <c r="N20" s="30" t="s">
        <v>130</v>
      </c>
      <c r="O20" s="30" t="s">
        <v>42</v>
      </c>
      <c r="P20" s="30" t="s">
        <v>131</v>
      </c>
      <c r="Q20" s="3" t="s">
        <v>125</v>
      </c>
      <c r="R20" s="38"/>
      <c r="S20" s="69" t="s">
        <v>46</v>
      </c>
      <c r="T20" s="3" t="s">
        <v>53</v>
      </c>
      <c r="U20" s="3" t="s">
        <v>126</v>
      </c>
      <c r="V20" s="3" t="s">
        <v>127</v>
      </c>
      <c r="W20" s="4">
        <v>46195</v>
      </c>
      <c r="X20" s="2">
        <v>70943</v>
      </c>
      <c r="Y20" s="4">
        <v>46202</v>
      </c>
      <c r="Z20" s="69">
        <v>2606026</v>
      </c>
      <c r="AA20" s="44">
        <v>0.72889710412815778</v>
      </c>
      <c r="AB20" s="15">
        <f t="shared" si="0"/>
        <v>0.27110289587184222</v>
      </c>
      <c r="AC20" t="s">
        <v>49</v>
      </c>
      <c r="AD20" s="12" t="s">
        <v>50</v>
      </c>
      <c r="AE20" s="63"/>
    </row>
    <row r="21" spans="1:31" x14ac:dyDescent="0.25">
      <c r="A21" s="69" t="s">
        <v>136</v>
      </c>
      <c r="B21" s="69" t="s">
        <v>137</v>
      </c>
      <c r="C21" s="23">
        <v>9</v>
      </c>
      <c r="D21" s="28">
        <v>46206</v>
      </c>
      <c r="E21" s="24" t="s">
        <v>138</v>
      </c>
      <c r="F21" s="30" t="s">
        <v>33</v>
      </c>
      <c r="G21" s="30" t="s">
        <v>34</v>
      </c>
      <c r="H21" s="30" t="s">
        <v>35</v>
      </c>
      <c r="I21" s="30" t="s">
        <v>36</v>
      </c>
      <c r="J21" s="30" t="s">
        <v>37</v>
      </c>
      <c r="K21" s="28" t="s">
        <v>139</v>
      </c>
      <c r="L21" s="30" t="s">
        <v>39</v>
      </c>
      <c r="M21" s="30" t="s">
        <v>40</v>
      </c>
      <c r="N21" s="28" t="s">
        <v>140</v>
      </c>
      <c r="O21" s="30" t="s">
        <v>42</v>
      </c>
      <c r="P21" s="28" t="s">
        <v>141</v>
      </c>
      <c r="Q21" s="24" t="s">
        <v>142</v>
      </c>
      <c r="R21" s="25" t="s">
        <v>143</v>
      </c>
      <c r="S21" s="69" t="s">
        <v>46</v>
      </c>
      <c r="T21" s="24" t="s">
        <v>116</v>
      </c>
      <c r="U21" s="24" t="s">
        <v>144</v>
      </c>
      <c r="V21" s="24" t="s">
        <v>145</v>
      </c>
      <c r="W21" s="26">
        <v>46200</v>
      </c>
      <c r="X21" s="69"/>
      <c r="Y21" s="26">
        <v>46211</v>
      </c>
      <c r="Z21" s="46">
        <v>2806026</v>
      </c>
      <c r="AA21" s="6">
        <v>0.32563973908680383</v>
      </c>
      <c r="AB21" s="47">
        <f t="shared" si="0"/>
        <v>0.67436026091319623</v>
      </c>
      <c r="AC21" t="s">
        <v>49</v>
      </c>
      <c r="AD21" s="22" t="s">
        <v>146</v>
      </c>
    </row>
    <row r="22" spans="1:31" ht="15.75" customHeight="1" x14ac:dyDescent="0.25">
      <c r="A22" s="69" t="s">
        <v>147</v>
      </c>
      <c r="B22" s="69" t="s">
        <v>148</v>
      </c>
      <c r="C22" s="23">
        <v>19</v>
      </c>
      <c r="D22" s="28">
        <v>46206</v>
      </c>
      <c r="E22" s="24" t="s">
        <v>149</v>
      </c>
      <c r="F22" s="30" t="s">
        <v>33</v>
      </c>
      <c r="G22" s="30" t="s">
        <v>34</v>
      </c>
      <c r="H22" s="30" t="s">
        <v>35</v>
      </c>
      <c r="I22" s="30" t="s">
        <v>36</v>
      </c>
      <c r="J22" s="30" t="s">
        <v>37</v>
      </c>
      <c r="K22" s="28" t="s">
        <v>139</v>
      </c>
      <c r="L22" s="30" t="s">
        <v>39</v>
      </c>
      <c r="M22" s="30" t="s">
        <v>40</v>
      </c>
      <c r="N22" s="28" t="s">
        <v>140</v>
      </c>
      <c r="O22" s="30" t="s">
        <v>42</v>
      </c>
      <c r="P22" s="28" t="s">
        <v>141</v>
      </c>
      <c r="Q22" s="24" t="s">
        <v>150</v>
      </c>
      <c r="R22" s="69"/>
      <c r="S22" s="39" t="s">
        <v>151</v>
      </c>
      <c r="T22" s="24" t="s">
        <v>152</v>
      </c>
      <c r="U22" s="24" t="s">
        <v>153</v>
      </c>
      <c r="V22" s="24" t="s">
        <v>85</v>
      </c>
      <c r="W22" s="27">
        <v>46202</v>
      </c>
      <c r="X22" s="23">
        <v>72252</v>
      </c>
      <c r="Y22" s="27">
        <v>46202</v>
      </c>
      <c r="Z22" s="46">
        <v>2806026</v>
      </c>
      <c r="AA22" s="6">
        <v>0.69421965317919077</v>
      </c>
      <c r="AB22" s="47">
        <f t="shared" si="0"/>
        <v>0.30578034682080923</v>
      </c>
      <c r="AC22" t="s">
        <v>49</v>
      </c>
      <c r="AD22" s="22" t="s">
        <v>50</v>
      </c>
    </row>
    <row r="23" spans="1:31" x14ac:dyDescent="0.25">
      <c r="A23" s="69" t="s">
        <v>154</v>
      </c>
      <c r="B23" s="69" t="s">
        <v>155</v>
      </c>
      <c r="C23" s="23">
        <v>23</v>
      </c>
      <c r="D23" s="28">
        <v>46206</v>
      </c>
      <c r="E23" s="24" t="s">
        <v>156</v>
      </c>
      <c r="F23" s="30" t="s">
        <v>33</v>
      </c>
      <c r="G23" s="30" t="s">
        <v>34</v>
      </c>
      <c r="H23" s="30" t="s">
        <v>35</v>
      </c>
      <c r="I23" s="30" t="s">
        <v>36</v>
      </c>
      <c r="J23" s="30" t="s">
        <v>37</v>
      </c>
      <c r="K23" s="28" t="s">
        <v>139</v>
      </c>
      <c r="L23" s="30" t="s">
        <v>39</v>
      </c>
      <c r="M23" s="30" t="s">
        <v>40</v>
      </c>
      <c r="N23" s="28" t="s">
        <v>140</v>
      </c>
      <c r="O23" s="30" t="s">
        <v>42</v>
      </c>
      <c r="P23" s="28" t="s">
        <v>141</v>
      </c>
      <c r="Q23" s="24" t="s">
        <v>157</v>
      </c>
      <c r="R23" s="69"/>
      <c r="S23" s="69" t="s">
        <v>46</v>
      </c>
      <c r="T23" s="24" t="s">
        <v>47</v>
      </c>
      <c r="U23" s="24" t="s">
        <v>158</v>
      </c>
      <c r="V23" s="12"/>
      <c r="W23" s="24" t="s">
        <v>159</v>
      </c>
      <c r="X23" s="69"/>
      <c r="Y23" s="40">
        <v>46214</v>
      </c>
      <c r="Z23" s="46">
        <v>2806026</v>
      </c>
      <c r="AA23" s="6">
        <v>0.6176623376623378</v>
      </c>
      <c r="AB23" s="47">
        <f t="shared" si="0"/>
        <v>0.3823376623376622</v>
      </c>
      <c r="AC23" t="s">
        <v>49</v>
      </c>
      <c r="AD23" s="22" t="s">
        <v>62</v>
      </c>
    </row>
    <row r="24" spans="1:31" x14ac:dyDescent="0.25">
      <c r="A24" s="69" t="s">
        <v>160</v>
      </c>
      <c r="B24" s="69" t="s">
        <v>161</v>
      </c>
      <c r="C24" s="23">
        <v>24</v>
      </c>
      <c r="D24" s="28">
        <v>46206</v>
      </c>
      <c r="E24" s="24" t="s">
        <v>162</v>
      </c>
      <c r="F24" s="30" t="s">
        <v>33</v>
      </c>
      <c r="G24" s="30" t="s">
        <v>34</v>
      </c>
      <c r="H24" s="30" t="s">
        <v>35</v>
      </c>
      <c r="I24" s="30" t="s">
        <v>36</v>
      </c>
      <c r="J24" s="30" t="s">
        <v>37</v>
      </c>
      <c r="K24" s="28" t="s">
        <v>139</v>
      </c>
      <c r="L24" s="30" t="s">
        <v>39</v>
      </c>
      <c r="M24" s="30" t="s">
        <v>40</v>
      </c>
      <c r="N24" s="28" t="s">
        <v>140</v>
      </c>
      <c r="O24" s="30" t="s">
        <v>42</v>
      </c>
      <c r="P24" s="28" t="s">
        <v>141</v>
      </c>
      <c r="Q24" s="24" t="s">
        <v>157</v>
      </c>
      <c r="R24" s="69"/>
      <c r="S24" s="69" t="s">
        <v>46</v>
      </c>
      <c r="T24" s="24" t="s">
        <v>47</v>
      </c>
      <c r="U24" s="24" t="s">
        <v>158</v>
      </c>
      <c r="V24" s="12"/>
      <c r="W24" s="24" t="s">
        <v>159</v>
      </c>
      <c r="X24" s="69"/>
      <c r="Y24" s="40">
        <v>46214</v>
      </c>
      <c r="Z24" s="46">
        <v>2806026</v>
      </c>
      <c r="AA24" s="6">
        <v>0.62235169491525433</v>
      </c>
      <c r="AB24" s="47">
        <f t="shared" si="0"/>
        <v>0.37764830508474567</v>
      </c>
      <c r="AC24" t="s">
        <v>49</v>
      </c>
      <c r="AD24" s="22" t="s">
        <v>62</v>
      </c>
    </row>
    <row r="25" spans="1:31" x14ac:dyDescent="0.25">
      <c r="A25" s="69" t="s">
        <v>163</v>
      </c>
      <c r="B25" s="69" t="s">
        <v>164</v>
      </c>
      <c r="C25" s="23">
        <v>10</v>
      </c>
      <c r="D25" s="28">
        <v>46206</v>
      </c>
      <c r="E25" s="3" t="s">
        <v>165</v>
      </c>
      <c r="F25" s="30" t="s">
        <v>33</v>
      </c>
      <c r="G25" s="30" t="s">
        <v>34</v>
      </c>
      <c r="H25" s="30" t="s">
        <v>35</v>
      </c>
      <c r="I25" s="30" t="s">
        <v>36</v>
      </c>
      <c r="J25" s="30" t="s">
        <v>37</v>
      </c>
      <c r="K25" s="28" t="s">
        <v>166</v>
      </c>
      <c r="L25" s="30" t="s">
        <v>39</v>
      </c>
      <c r="M25" s="30" t="s">
        <v>40</v>
      </c>
      <c r="N25" s="28" t="s">
        <v>167</v>
      </c>
      <c r="O25" s="30" t="s">
        <v>42</v>
      </c>
      <c r="P25" s="28" t="s">
        <v>168</v>
      </c>
      <c r="Q25" s="24" t="s">
        <v>142</v>
      </c>
      <c r="R25" s="25" t="s">
        <v>169</v>
      </c>
      <c r="S25" s="69" t="s">
        <v>46</v>
      </c>
      <c r="T25" s="24" t="s">
        <v>116</v>
      </c>
      <c r="U25" s="24" t="s">
        <v>144</v>
      </c>
      <c r="V25" s="24" t="s">
        <v>145</v>
      </c>
      <c r="W25" s="26">
        <v>46200</v>
      </c>
      <c r="X25" s="69"/>
      <c r="Y25" s="26">
        <v>46211</v>
      </c>
      <c r="Z25" s="46">
        <v>2806026</v>
      </c>
      <c r="AA25" s="6">
        <v>0.25119388729703918</v>
      </c>
      <c r="AB25" s="47">
        <v>0.47421203438395421</v>
      </c>
      <c r="AC25" t="s">
        <v>49</v>
      </c>
      <c r="AD25" s="22" t="s">
        <v>146</v>
      </c>
    </row>
    <row r="26" spans="1:31" ht="15.75" customHeight="1" x14ac:dyDescent="0.25">
      <c r="A26" s="69" t="s">
        <v>170</v>
      </c>
      <c r="B26" s="69" t="s">
        <v>171</v>
      </c>
      <c r="C26" s="23">
        <v>20</v>
      </c>
      <c r="D26" s="28">
        <v>46206</v>
      </c>
      <c r="E26" s="24" t="s">
        <v>172</v>
      </c>
      <c r="F26" s="30" t="s">
        <v>33</v>
      </c>
      <c r="G26" s="30" t="s">
        <v>34</v>
      </c>
      <c r="H26" s="30" t="s">
        <v>35</v>
      </c>
      <c r="I26" s="30" t="s">
        <v>36</v>
      </c>
      <c r="J26" s="30" t="s">
        <v>37</v>
      </c>
      <c r="K26" s="28" t="s">
        <v>166</v>
      </c>
      <c r="L26" s="30" t="s">
        <v>39</v>
      </c>
      <c r="M26" s="30" t="s">
        <v>40</v>
      </c>
      <c r="N26" s="28" t="s">
        <v>167</v>
      </c>
      <c r="O26" s="30" t="s">
        <v>42</v>
      </c>
      <c r="P26" s="28" t="s">
        <v>168</v>
      </c>
      <c r="Q26" s="24" t="s">
        <v>150</v>
      </c>
      <c r="R26" s="69"/>
      <c r="S26" s="39" t="s">
        <v>151</v>
      </c>
      <c r="T26" s="24" t="s">
        <v>152</v>
      </c>
      <c r="U26" s="24" t="s">
        <v>153</v>
      </c>
      <c r="V26" s="24" t="s">
        <v>85</v>
      </c>
      <c r="W26" s="27">
        <v>46202</v>
      </c>
      <c r="X26" s="23">
        <v>72252</v>
      </c>
      <c r="Y26" s="27">
        <v>46209</v>
      </c>
      <c r="Z26" s="46">
        <v>2806026</v>
      </c>
      <c r="AA26" s="6">
        <v>0.77282157676348551</v>
      </c>
      <c r="AB26" s="47">
        <v>0.14419087136929459</v>
      </c>
      <c r="AC26" t="s">
        <v>49</v>
      </c>
      <c r="AD26" s="22" t="s">
        <v>86</v>
      </c>
    </row>
    <row r="27" spans="1:31" ht="15.75" customHeight="1" x14ac:dyDescent="0.25">
      <c r="A27" t="s">
        <v>173</v>
      </c>
      <c r="B27" t="s">
        <v>174</v>
      </c>
      <c r="C27" s="21">
        <v>26</v>
      </c>
      <c r="D27" s="63">
        <v>46227</v>
      </c>
      <c r="E27" s="49" t="s">
        <v>175</v>
      </c>
      <c r="F27" s="30" t="s">
        <v>33</v>
      </c>
      <c r="G27" s="30" t="s">
        <v>34</v>
      </c>
      <c r="H27" s="30" t="s">
        <v>35</v>
      </c>
      <c r="I27" s="30" t="s">
        <v>36</v>
      </c>
      <c r="J27" s="30" t="s">
        <v>37</v>
      </c>
      <c r="K27" s="53" t="s">
        <v>176</v>
      </c>
      <c r="L27" s="30" t="s">
        <v>39</v>
      </c>
      <c r="M27" s="30" t="s">
        <v>40</v>
      </c>
      <c r="N27" s="53" t="s">
        <v>177</v>
      </c>
      <c r="O27" s="30" t="s">
        <v>178</v>
      </c>
      <c r="P27" s="28" t="s">
        <v>179</v>
      </c>
      <c r="Q27" s="49" t="s">
        <v>180</v>
      </c>
      <c r="R27" s="49"/>
      <c r="S27" s="69" t="s">
        <v>46</v>
      </c>
      <c r="T27" s="49" t="s">
        <v>181</v>
      </c>
      <c r="U27" s="49" t="s">
        <v>181</v>
      </c>
      <c r="V27" s="50"/>
      <c r="W27" s="51">
        <v>45731</v>
      </c>
      <c r="X27" s="50"/>
      <c r="Y27" s="52">
        <v>46813</v>
      </c>
      <c r="Z27" s="54">
        <v>100626</v>
      </c>
      <c r="AA27" s="6">
        <v>0.62093862815884471</v>
      </c>
      <c r="AB27" s="47">
        <f>1-AA27</f>
        <v>0.37906137184115529</v>
      </c>
      <c r="AC27" t="s">
        <v>49</v>
      </c>
      <c r="AD27" s="22" t="s">
        <v>62</v>
      </c>
    </row>
    <row r="28" spans="1:31" ht="15.75" customHeight="1" x14ac:dyDescent="0.25">
      <c r="A28" t="s">
        <v>182</v>
      </c>
      <c r="B28" t="s">
        <v>183</v>
      </c>
      <c r="C28" s="21">
        <v>27</v>
      </c>
      <c r="D28" s="63">
        <v>46227</v>
      </c>
      <c r="E28" s="49" t="s">
        <v>184</v>
      </c>
      <c r="F28" s="30" t="s">
        <v>33</v>
      </c>
      <c r="G28" s="30" t="s">
        <v>34</v>
      </c>
      <c r="H28" s="30" t="s">
        <v>35</v>
      </c>
      <c r="I28" s="30" t="s">
        <v>36</v>
      </c>
      <c r="J28" s="30" t="s">
        <v>37</v>
      </c>
      <c r="K28" s="53" t="s">
        <v>176</v>
      </c>
      <c r="L28" s="30" t="s">
        <v>39</v>
      </c>
      <c r="M28" s="30" t="s">
        <v>40</v>
      </c>
      <c r="N28" s="53" t="s">
        <v>177</v>
      </c>
      <c r="O28" s="30" t="s">
        <v>178</v>
      </c>
      <c r="P28" s="28" t="s">
        <v>179</v>
      </c>
      <c r="Q28" s="49" t="s">
        <v>125</v>
      </c>
      <c r="R28" s="49"/>
      <c r="S28" s="69" t="s">
        <v>46</v>
      </c>
      <c r="T28" s="49" t="s">
        <v>53</v>
      </c>
      <c r="U28" s="49" t="s">
        <v>185</v>
      </c>
      <c r="V28" s="49" t="s">
        <v>186</v>
      </c>
      <c r="W28" s="51">
        <v>45868</v>
      </c>
      <c r="X28" s="48">
        <v>6014019</v>
      </c>
      <c r="Y28" s="51">
        <v>46964</v>
      </c>
      <c r="Z28" s="54">
        <v>100626</v>
      </c>
      <c r="AA28" s="6">
        <v>0.89532190829087532</v>
      </c>
      <c r="AB28" s="47">
        <f>1-AA28</f>
        <v>0.10467809170912468</v>
      </c>
      <c r="AC28" t="s">
        <v>49</v>
      </c>
      <c r="AD28" s="22" t="s">
        <v>56</v>
      </c>
    </row>
    <row r="29" spans="1:31" ht="15.75" customHeight="1" x14ac:dyDescent="0.25">
      <c r="A29" t="s">
        <v>187</v>
      </c>
      <c r="B29" t="s">
        <v>188</v>
      </c>
      <c r="C29" s="21">
        <v>28</v>
      </c>
      <c r="D29" s="63">
        <v>46227</v>
      </c>
      <c r="E29" s="49" t="s">
        <v>189</v>
      </c>
      <c r="F29" s="30" t="s">
        <v>33</v>
      </c>
      <c r="G29" s="30" t="s">
        <v>34</v>
      </c>
      <c r="H29" s="30" t="s">
        <v>35</v>
      </c>
      <c r="I29" s="30" t="s">
        <v>36</v>
      </c>
      <c r="J29" s="30" t="s">
        <v>37</v>
      </c>
      <c r="K29" s="53" t="s">
        <v>176</v>
      </c>
      <c r="L29" s="30" t="s">
        <v>39</v>
      </c>
      <c r="M29" s="30" t="s">
        <v>40</v>
      </c>
      <c r="N29" s="53" t="s">
        <v>177</v>
      </c>
      <c r="O29" s="30" t="s">
        <v>178</v>
      </c>
      <c r="P29" s="63" t="s">
        <v>190</v>
      </c>
      <c r="Q29" s="50"/>
      <c r="R29" s="49"/>
      <c r="S29" s="69" t="s">
        <v>46</v>
      </c>
      <c r="T29" s="49" t="s">
        <v>47</v>
      </c>
      <c r="U29" s="49" t="s">
        <v>191</v>
      </c>
      <c r="V29" s="49" t="s">
        <v>192</v>
      </c>
      <c r="W29" s="51">
        <v>45989</v>
      </c>
      <c r="X29" s="48">
        <v>7096003</v>
      </c>
      <c r="Y29" s="51">
        <v>46901</v>
      </c>
      <c r="Z29" s="54">
        <v>100626</v>
      </c>
      <c r="AA29" s="6">
        <v>0.91489361702127658</v>
      </c>
      <c r="AB29" s="47">
        <f>1-AA29</f>
        <v>8.5106382978723416E-2</v>
      </c>
      <c r="AC29" t="s">
        <v>49</v>
      </c>
      <c r="AD29" s="22" t="s">
        <v>56</v>
      </c>
    </row>
    <row r="30" spans="1:31" ht="15.75" customHeight="1" x14ac:dyDescent="0.25">
      <c r="A30" t="s">
        <v>193</v>
      </c>
      <c r="B30" t="s">
        <v>194</v>
      </c>
      <c r="C30" s="21">
        <v>29</v>
      </c>
      <c r="D30" s="63">
        <v>46227</v>
      </c>
      <c r="E30" s="49" t="s">
        <v>195</v>
      </c>
      <c r="F30" s="30" t="s">
        <v>33</v>
      </c>
      <c r="G30" s="30" t="s">
        <v>34</v>
      </c>
      <c r="H30" s="30" t="s">
        <v>35</v>
      </c>
      <c r="I30" s="30" t="s">
        <v>36</v>
      </c>
      <c r="J30" s="30" t="s">
        <v>37</v>
      </c>
      <c r="K30" s="53" t="s">
        <v>176</v>
      </c>
      <c r="L30" s="30" t="s">
        <v>39</v>
      </c>
      <c r="M30" s="30" t="s">
        <v>40</v>
      </c>
      <c r="N30" s="53" t="s">
        <v>177</v>
      </c>
      <c r="O30" s="30" t="s">
        <v>178</v>
      </c>
      <c r="P30" s="63" t="s">
        <v>190</v>
      </c>
      <c r="Q30" s="50"/>
      <c r="R30" s="49"/>
      <c r="S30" s="49" t="s">
        <v>196</v>
      </c>
      <c r="T30" s="49" t="s">
        <v>197</v>
      </c>
      <c r="U30" s="49" t="s">
        <v>198</v>
      </c>
      <c r="V30" s="49" t="s">
        <v>199</v>
      </c>
      <c r="W30" s="51">
        <v>45662</v>
      </c>
      <c r="X30" s="48">
        <v>7097002</v>
      </c>
      <c r="Y30" s="51">
        <v>46387</v>
      </c>
      <c r="Z30" s="54">
        <v>100626</v>
      </c>
      <c r="AA30" s="6">
        <v>0.88637413394919173</v>
      </c>
      <c r="AB30" s="47">
        <f>1-AA30</f>
        <v>0.11362586605080827</v>
      </c>
      <c r="AC30" t="s">
        <v>49</v>
      </c>
      <c r="AD30" s="22" t="s">
        <v>56</v>
      </c>
    </row>
    <row r="31" spans="1:31" ht="15.75" customHeight="1" x14ac:dyDescent="0.25">
      <c r="A31" t="s">
        <v>200</v>
      </c>
      <c r="B31" t="s">
        <v>201</v>
      </c>
      <c r="C31" s="21">
        <v>30</v>
      </c>
      <c r="D31" s="63">
        <v>46227</v>
      </c>
      <c r="E31" s="49" t="s">
        <v>202</v>
      </c>
      <c r="F31" s="30" t="s">
        <v>33</v>
      </c>
      <c r="G31" s="30" t="s">
        <v>34</v>
      </c>
      <c r="H31" s="30" t="s">
        <v>35</v>
      </c>
      <c r="I31" s="30" t="s">
        <v>36</v>
      </c>
      <c r="J31" s="30" t="s">
        <v>37</v>
      </c>
      <c r="K31" s="53" t="s">
        <v>176</v>
      </c>
      <c r="L31" s="101" t="s">
        <v>39</v>
      </c>
      <c r="M31" s="30" t="s">
        <v>40</v>
      </c>
      <c r="N31" s="53" t="s">
        <v>177</v>
      </c>
      <c r="O31" s="30" t="s">
        <v>178</v>
      </c>
      <c r="P31" s="28" t="s">
        <v>179</v>
      </c>
      <c r="Q31" s="49" t="s">
        <v>125</v>
      </c>
      <c r="R31" s="49"/>
      <c r="S31" s="49" t="s">
        <v>203</v>
      </c>
      <c r="T31" s="49" t="s">
        <v>53</v>
      </c>
      <c r="U31" s="49" t="s">
        <v>185</v>
      </c>
      <c r="V31" s="49" t="s">
        <v>204</v>
      </c>
      <c r="W31" s="51">
        <v>45964</v>
      </c>
      <c r="X31" s="49">
        <v>6020200</v>
      </c>
      <c r="Y31" s="51">
        <v>46694</v>
      </c>
      <c r="Z31" s="54">
        <v>100626</v>
      </c>
      <c r="AA31" s="6">
        <v>0.7371134020618556</v>
      </c>
      <c r="AB31" s="47">
        <v>0.47421203438395421</v>
      </c>
      <c r="AC31" t="s">
        <v>49</v>
      </c>
      <c r="AD31" s="22" t="s">
        <v>86</v>
      </c>
    </row>
    <row r="32" spans="1:31" s="103" customFormat="1" ht="15.75" customHeight="1" x14ac:dyDescent="0.25">
      <c r="A32" t="s">
        <v>205</v>
      </c>
      <c r="B32" s="103" t="s">
        <v>206</v>
      </c>
      <c r="C32" s="100"/>
      <c r="D32" s="104">
        <v>46311</v>
      </c>
      <c r="E32" s="105" t="s">
        <v>207</v>
      </c>
      <c r="F32" s="106" t="s">
        <v>33</v>
      </c>
      <c r="G32" s="107" t="s">
        <v>34</v>
      </c>
      <c r="H32" s="107" t="s">
        <v>35</v>
      </c>
      <c r="I32" s="107" t="s">
        <v>36</v>
      </c>
      <c r="J32" s="107" t="s">
        <v>37</v>
      </c>
      <c r="K32" s="108">
        <v>46259</v>
      </c>
      <c r="L32" s="107" t="s">
        <v>39</v>
      </c>
      <c r="M32" s="107" t="s">
        <v>40</v>
      </c>
      <c r="N32" s="109" t="s">
        <v>208</v>
      </c>
      <c r="O32" s="107" t="s">
        <v>178</v>
      </c>
      <c r="P32" s="109" t="s">
        <v>209</v>
      </c>
      <c r="Q32" s="105" t="s">
        <v>210</v>
      </c>
      <c r="R32" s="110"/>
      <c r="S32" s="111" t="s">
        <v>46</v>
      </c>
      <c r="T32" s="110"/>
      <c r="U32" s="110"/>
      <c r="V32" s="116">
        <v>1524271</v>
      </c>
      <c r="W32" s="114"/>
      <c r="X32" s="100"/>
      <c r="Y32" s="102">
        <v>46264</v>
      </c>
      <c r="Z32" s="112">
        <v>250426</v>
      </c>
      <c r="AA32" s="98">
        <v>0.51503267973856215</v>
      </c>
      <c r="AB32" s="98">
        <f t="shared" ref="AB32:AB38" si="1">1-AA32</f>
        <v>0.48496732026143785</v>
      </c>
      <c r="AC32" t="s">
        <v>49</v>
      </c>
      <c r="AD32" s="118" t="s">
        <v>118</v>
      </c>
    </row>
    <row r="33" spans="1:30" s="103" customFormat="1" ht="15.75" customHeight="1" x14ac:dyDescent="0.25">
      <c r="A33" t="s">
        <v>211</v>
      </c>
      <c r="B33" s="103" t="s">
        <v>212</v>
      </c>
      <c r="C33" s="100"/>
      <c r="D33" s="104">
        <v>46311</v>
      </c>
      <c r="E33" s="105" t="s">
        <v>213</v>
      </c>
      <c r="F33" s="106" t="s">
        <v>33</v>
      </c>
      <c r="G33" s="107" t="s">
        <v>34</v>
      </c>
      <c r="H33" s="107" t="s">
        <v>35</v>
      </c>
      <c r="I33" s="107" t="s">
        <v>36</v>
      </c>
      <c r="J33" s="107" t="s">
        <v>37</v>
      </c>
      <c r="K33" s="108">
        <v>46259</v>
      </c>
      <c r="L33" s="107" t="s">
        <v>39</v>
      </c>
      <c r="M33" s="107" t="s">
        <v>40</v>
      </c>
      <c r="N33" s="109" t="s">
        <v>208</v>
      </c>
      <c r="O33" s="107" t="s">
        <v>178</v>
      </c>
      <c r="P33" s="109" t="s">
        <v>209</v>
      </c>
      <c r="Q33" s="105" t="s">
        <v>214</v>
      </c>
      <c r="R33" s="110"/>
      <c r="S33" s="111" t="s">
        <v>46</v>
      </c>
      <c r="T33" s="110"/>
      <c r="U33" s="110"/>
      <c r="V33" s="116">
        <v>9262290400</v>
      </c>
      <c r="W33" s="114"/>
      <c r="X33" s="100"/>
      <c r="Y33" s="102">
        <v>46263</v>
      </c>
      <c r="Z33" s="112">
        <v>250426</v>
      </c>
      <c r="AA33" s="98">
        <v>0.36581045172719218</v>
      </c>
      <c r="AB33" s="98">
        <f t="shared" si="1"/>
        <v>0.63418954827280782</v>
      </c>
      <c r="AC33" t="s">
        <v>49</v>
      </c>
      <c r="AD33" s="113" t="s">
        <v>215</v>
      </c>
    </row>
    <row r="34" spans="1:30" s="103" customFormat="1" ht="15.75" customHeight="1" x14ac:dyDescent="0.25">
      <c r="A34" t="s">
        <v>216</v>
      </c>
      <c r="B34" s="103" t="s">
        <v>217</v>
      </c>
      <c r="C34" s="100"/>
      <c r="D34" s="104">
        <v>46311</v>
      </c>
      <c r="E34" s="105" t="s">
        <v>213</v>
      </c>
      <c r="F34" s="106" t="s">
        <v>33</v>
      </c>
      <c r="G34" s="107" t="s">
        <v>34</v>
      </c>
      <c r="H34" s="107" t="s">
        <v>35</v>
      </c>
      <c r="I34" s="107" t="s">
        <v>36</v>
      </c>
      <c r="J34" s="107" t="s">
        <v>37</v>
      </c>
      <c r="K34" s="108">
        <v>46259</v>
      </c>
      <c r="L34" s="107" t="s">
        <v>39</v>
      </c>
      <c r="M34" s="107" t="s">
        <v>40</v>
      </c>
      <c r="N34" s="109" t="s">
        <v>208</v>
      </c>
      <c r="O34" s="107" t="s">
        <v>178</v>
      </c>
      <c r="P34" s="109" t="s">
        <v>209</v>
      </c>
      <c r="Q34" s="105" t="s">
        <v>214</v>
      </c>
      <c r="R34" s="110"/>
      <c r="S34" s="111" t="s">
        <v>46</v>
      </c>
      <c r="T34" s="110"/>
      <c r="U34" s="110"/>
      <c r="V34" s="116">
        <v>9262290327</v>
      </c>
      <c r="W34" s="114"/>
      <c r="X34" s="100"/>
      <c r="Y34" s="102">
        <v>46263</v>
      </c>
      <c r="Z34" s="112">
        <v>250426</v>
      </c>
      <c r="AA34" s="98">
        <v>0.43977364591754242</v>
      </c>
      <c r="AB34" s="98">
        <f t="shared" si="1"/>
        <v>0.56022635408245758</v>
      </c>
      <c r="AC34" t="s">
        <v>49</v>
      </c>
      <c r="AD34" s="113" t="s">
        <v>146</v>
      </c>
    </row>
    <row r="35" spans="1:30" s="103" customFormat="1" ht="15.75" customHeight="1" x14ac:dyDescent="0.25">
      <c r="A35" t="s">
        <v>218</v>
      </c>
      <c r="B35" s="103" t="s">
        <v>219</v>
      </c>
      <c r="C35" s="100"/>
      <c r="D35" s="104">
        <v>46311</v>
      </c>
      <c r="E35" s="105" t="s">
        <v>213</v>
      </c>
      <c r="F35" s="106" t="s">
        <v>33</v>
      </c>
      <c r="G35" s="107" t="s">
        <v>34</v>
      </c>
      <c r="H35" s="107" t="s">
        <v>35</v>
      </c>
      <c r="I35" s="107" t="s">
        <v>36</v>
      </c>
      <c r="J35" s="107" t="s">
        <v>37</v>
      </c>
      <c r="K35" s="108">
        <v>46289</v>
      </c>
      <c r="L35" s="107" t="s">
        <v>39</v>
      </c>
      <c r="M35" s="107" t="s">
        <v>40</v>
      </c>
      <c r="N35" s="109" t="s">
        <v>208</v>
      </c>
      <c r="O35" s="107" t="s">
        <v>178</v>
      </c>
      <c r="P35" s="109" t="s">
        <v>209</v>
      </c>
      <c r="Q35" s="105" t="s">
        <v>214</v>
      </c>
      <c r="R35" s="110"/>
      <c r="S35" s="111" t="s">
        <v>46</v>
      </c>
      <c r="T35" s="110"/>
      <c r="U35" s="110"/>
      <c r="V35" s="116">
        <v>9262610015</v>
      </c>
      <c r="W35" s="114"/>
      <c r="X35" s="100"/>
      <c r="Y35" s="102">
        <v>46295</v>
      </c>
      <c r="Z35" s="112">
        <v>250426</v>
      </c>
      <c r="AA35" s="98">
        <v>0.50640113798008535</v>
      </c>
      <c r="AB35" s="98">
        <f t="shared" si="1"/>
        <v>0.49359886201991465</v>
      </c>
      <c r="AC35" t="s">
        <v>49</v>
      </c>
      <c r="AD35" s="118" t="s">
        <v>118</v>
      </c>
    </row>
    <row r="36" spans="1:30" s="103" customFormat="1" ht="15.75" customHeight="1" x14ac:dyDescent="0.25">
      <c r="A36" t="s">
        <v>220</v>
      </c>
      <c r="B36" s="103" t="s">
        <v>221</v>
      </c>
      <c r="C36" s="100"/>
      <c r="D36" s="104">
        <v>46311</v>
      </c>
      <c r="E36" s="105" t="s">
        <v>213</v>
      </c>
      <c r="F36" s="106" t="s">
        <v>33</v>
      </c>
      <c r="G36" s="107" t="s">
        <v>34</v>
      </c>
      <c r="H36" s="107" t="s">
        <v>35</v>
      </c>
      <c r="I36" s="107" t="s">
        <v>36</v>
      </c>
      <c r="J36" s="107" t="s">
        <v>37</v>
      </c>
      <c r="K36" s="108">
        <v>46289</v>
      </c>
      <c r="L36" s="107" t="s">
        <v>39</v>
      </c>
      <c r="M36" s="107" t="s">
        <v>40</v>
      </c>
      <c r="N36" s="109" t="s">
        <v>208</v>
      </c>
      <c r="O36" s="107" t="s">
        <v>178</v>
      </c>
      <c r="P36" s="109" t="s">
        <v>209</v>
      </c>
      <c r="Q36" s="105" t="s">
        <v>214</v>
      </c>
      <c r="R36" s="110"/>
      <c r="S36" s="111" t="s">
        <v>46</v>
      </c>
      <c r="T36" s="110"/>
      <c r="U36" s="110"/>
      <c r="V36" s="116">
        <v>9262610015</v>
      </c>
      <c r="W36" s="114"/>
      <c r="X36" s="100"/>
      <c r="Y36" s="102">
        <v>46295</v>
      </c>
      <c r="Z36" s="112">
        <v>250426</v>
      </c>
      <c r="AA36" s="98">
        <v>0.50867743865948534</v>
      </c>
      <c r="AB36" s="98">
        <f t="shared" si="1"/>
        <v>0.49132256134051466</v>
      </c>
      <c r="AC36" t="s">
        <v>49</v>
      </c>
      <c r="AD36" s="118" t="s">
        <v>118</v>
      </c>
    </row>
    <row r="37" spans="1:30" s="103" customFormat="1" ht="15.75" customHeight="1" x14ac:dyDescent="0.25">
      <c r="A37" t="s">
        <v>222</v>
      </c>
      <c r="B37" s="103" t="s">
        <v>223</v>
      </c>
      <c r="C37" s="100"/>
      <c r="D37" s="104">
        <v>46311</v>
      </c>
      <c r="E37" s="105" t="s">
        <v>207</v>
      </c>
      <c r="F37" s="106" t="s">
        <v>33</v>
      </c>
      <c r="G37" s="107" t="s">
        <v>34</v>
      </c>
      <c r="H37" s="107" t="s">
        <v>35</v>
      </c>
      <c r="I37" s="107" t="s">
        <v>36</v>
      </c>
      <c r="J37" s="107" t="s">
        <v>37</v>
      </c>
      <c r="K37" s="108">
        <v>46289</v>
      </c>
      <c r="L37" s="107" t="s">
        <v>39</v>
      </c>
      <c r="M37" s="107" t="s">
        <v>40</v>
      </c>
      <c r="N37" s="109" t="s">
        <v>208</v>
      </c>
      <c r="O37" s="107" t="s">
        <v>178</v>
      </c>
      <c r="P37" s="109" t="s">
        <v>209</v>
      </c>
      <c r="Q37" s="105" t="s">
        <v>210</v>
      </c>
      <c r="R37" s="110"/>
      <c r="S37" s="111" t="s">
        <v>46</v>
      </c>
      <c r="T37" s="110"/>
      <c r="U37" s="110"/>
      <c r="V37" s="117">
        <v>1533199</v>
      </c>
      <c r="W37" s="114"/>
      <c r="X37" s="100"/>
      <c r="Y37" s="102">
        <v>46297</v>
      </c>
      <c r="Z37" s="112">
        <v>250426</v>
      </c>
      <c r="AA37" s="98">
        <v>0.53343823760818243</v>
      </c>
      <c r="AB37" s="98">
        <f t="shared" si="1"/>
        <v>0.46656176239181757</v>
      </c>
      <c r="AC37" t="s">
        <v>49</v>
      </c>
      <c r="AD37" s="118" t="s">
        <v>118</v>
      </c>
    </row>
    <row r="38" spans="1:30" s="103" customFormat="1" ht="15.75" customHeight="1" x14ac:dyDescent="0.25">
      <c r="A38" t="s">
        <v>224</v>
      </c>
      <c r="B38" s="103" t="s">
        <v>225</v>
      </c>
      <c r="C38" s="100"/>
      <c r="D38" s="104">
        <v>46311</v>
      </c>
      <c r="E38" s="105" t="s">
        <v>207</v>
      </c>
      <c r="F38" s="106" t="s">
        <v>33</v>
      </c>
      <c r="G38" s="107" t="s">
        <v>34</v>
      </c>
      <c r="H38" s="107" t="s">
        <v>35</v>
      </c>
      <c r="I38" s="107" t="s">
        <v>36</v>
      </c>
      <c r="J38" s="107" t="s">
        <v>37</v>
      </c>
      <c r="K38" s="108">
        <v>46289</v>
      </c>
      <c r="L38" s="107" t="s">
        <v>39</v>
      </c>
      <c r="M38" s="107" t="s">
        <v>40</v>
      </c>
      <c r="N38" s="109" t="s">
        <v>208</v>
      </c>
      <c r="O38" s="107" t="s">
        <v>178</v>
      </c>
      <c r="P38" s="109" t="s">
        <v>209</v>
      </c>
      <c r="Q38" s="105" t="s">
        <v>210</v>
      </c>
      <c r="R38" s="110"/>
      <c r="S38" s="111" t="s">
        <v>46</v>
      </c>
      <c r="T38" s="110"/>
      <c r="U38" s="110"/>
      <c r="V38" s="117">
        <v>1533199</v>
      </c>
      <c r="W38" s="114"/>
      <c r="X38" s="100"/>
      <c r="Y38" s="102">
        <v>46297</v>
      </c>
      <c r="Z38" s="112">
        <v>250426</v>
      </c>
      <c r="AA38" s="98">
        <v>0.52392344497607657</v>
      </c>
      <c r="AB38" s="98">
        <f t="shared" si="1"/>
        <v>0.47607655502392343</v>
      </c>
      <c r="AC38" t="s">
        <v>49</v>
      </c>
      <c r="AD38" s="118" t="s">
        <v>118</v>
      </c>
    </row>
    <row r="39" spans="1:30" ht="15.75" customHeight="1" x14ac:dyDescent="0.25">
      <c r="A39" s="103"/>
      <c r="B39" s="103"/>
      <c r="D39" s="104"/>
      <c r="E39" s="99"/>
      <c r="F39" s="62"/>
      <c r="G39" s="62"/>
      <c r="H39" s="62"/>
      <c r="I39" s="62"/>
      <c r="J39" s="62"/>
      <c r="K39" s="63"/>
      <c r="L39" s="62"/>
      <c r="M39" s="62"/>
      <c r="N39" s="63"/>
      <c r="O39" s="62"/>
      <c r="P39" s="63"/>
      <c r="Q39" s="99"/>
      <c r="R39" s="99"/>
      <c r="S39" s="64"/>
      <c r="T39" s="20" t="s">
        <v>19</v>
      </c>
      <c r="U39" s="20" t="s">
        <v>20</v>
      </c>
      <c r="V39" s="115" t="s">
        <v>21</v>
      </c>
      <c r="W39" s="20" t="s">
        <v>22</v>
      </c>
      <c r="X39" s="115" t="s">
        <v>23</v>
      </c>
      <c r="Y39" s="115" t="s">
        <v>24</v>
      </c>
      <c r="Z39" s="65"/>
      <c r="AA39" s="1" t="s">
        <v>26</v>
      </c>
      <c r="AB39" s="1" t="s">
        <v>226</v>
      </c>
      <c r="AD39" s="118"/>
    </row>
    <row r="40" spans="1:30" s="55" customFormat="1" ht="15" customHeight="1" x14ac:dyDescent="0.25">
      <c r="A40" t="s">
        <v>227</v>
      </c>
      <c r="B40" t="s">
        <v>228</v>
      </c>
      <c r="C40" s="56">
        <v>1</v>
      </c>
      <c r="D40" s="59">
        <v>46225</v>
      </c>
      <c r="E40" s="60" t="s">
        <v>229</v>
      </c>
      <c r="F40" s="58" t="s">
        <v>230</v>
      </c>
      <c r="G40" s="57" t="s">
        <v>231</v>
      </c>
      <c r="H40" s="55" t="s">
        <v>232</v>
      </c>
      <c r="I40" s="55" t="s">
        <v>233</v>
      </c>
      <c r="J40" s="55" t="s">
        <v>234</v>
      </c>
      <c r="K40" s="59" t="s">
        <v>235</v>
      </c>
      <c r="L40" s="55" t="s">
        <v>39</v>
      </c>
      <c r="M40" s="55" t="s">
        <v>236</v>
      </c>
      <c r="N40" s="59" t="s">
        <v>237</v>
      </c>
      <c r="O40" s="55" t="s">
        <v>236</v>
      </c>
      <c r="P40" s="59" t="s">
        <v>238</v>
      </c>
      <c r="Q40" s="60" t="s">
        <v>239</v>
      </c>
      <c r="R40" s="61" t="s">
        <v>240</v>
      </c>
      <c r="S40" s="55" t="s">
        <v>241</v>
      </c>
      <c r="T40" s="68" t="s">
        <v>242</v>
      </c>
      <c r="U40" s="55" t="s">
        <v>243</v>
      </c>
      <c r="V40" s="61">
        <v>26201</v>
      </c>
      <c r="Y40" s="59">
        <v>46233</v>
      </c>
      <c r="Z40" s="55">
        <v>100626</v>
      </c>
      <c r="AA40" s="66">
        <v>9.3457943925233725E-4</v>
      </c>
      <c r="AB40" s="66">
        <v>0.99532710280373826</v>
      </c>
      <c r="AC40" t="s">
        <v>244</v>
      </c>
      <c r="AD40" s="67" t="s">
        <v>245</v>
      </c>
    </row>
    <row r="41" spans="1:30" s="55" customFormat="1" ht="15" customHeight="1" x14ac:dyDescent="0.25">
      <c r="A41" t="s">
        <v>246</v>
      </c>
      <c r="B41" t="s">
        <v>247</v>
      </c>
      <c r="C41" s="56">
        <v>2</v>
      </c>
      <c r="D41" s="59">
        <v>46225</v>
      </c>
      <c r="E41" s="60" t="s">
        <v>248</v>
      </c>
      <c r="F41" s="58" t="s">
        <v>230</v>
      </c>
      <c r="G41" s="57" t="s">
        <v>231</v>
      </c>
      <c r="H41" s="55" t="s">
        <v>232</v>
      </c>
      <c r="I41" s="55" t="s">
        <v>233</v>
      </c>
      <c r="J41" s="55" t="s">
        <v>234</v>
      </c>
      <c r="K41" s="59" t="s">
        <v>235</v>
      </c>
      <c r="L41" s="55" t="s">
        <v>39</v>
      </c>
      <c r="M41" s="55" t="s">
        <v>236</v>
      </c>
      <c r="N41" s="59" t="s">
        <v>237</v>
      </c>
      <c r="O41" s="55" t="s">
        <v>236</v>
      </c>
      <c r="P41" s="59" t="s">
        <v>238</v>
      </c>
      <c r="Q41" s="60" t="s">
        <v>239</v>
      </c>
      <c r="R41" s="61" t="s">
        <v>249</v>
      </c>
      <c r="S41" s="55" t="s">
        <v>241</v>
      </c>
      <c r="T41" s="68" t="s">
        <v>242</v>
      </c>
      <c r="U41" s="55" t="s">
        <v>243</v>
      </c>
      <c r="V41" s="61">
        <v>26201</v>
      </c>
      <c r="Y41" s="59">
        <v>46233</v>
      </c>
      <c r="Z41" s="55">
        <v>100626</v>
      </c>
      <c r="AA41" s="66">
        <v>3.131524008350733E-3</v>
      </c>
      <c r="AB41" s="66">
        <v>0.98016701461377864</v>
      </c>
      <c r="AC41" t="s">
        <v>244</v>
      </c>
      <c r="AD41" s="67" t="s">
        <v>245</v>
      </c>
    </row>
    <row r="42" spans="1:30" s="55" customFormat="1" ht="15" customHeight="1" x14ac:dyDescent="0.25">
      <c r="A42" t="s">
        <v>250</v>
      </c>
      <c r="B42" t="s">
        <v>251</v>
      </c>
      <c r="C42" s="56">
        <v>3</v>
      </c>
      <c r="D42" s="59">
        <v>46225</v>
      </c>
      <c r="E42" s="60" t="s">
        <v>252</v>
      </c>
      <c r="F42" s="58" t="s">
        <v>230</v>
      </c>
      <c r="G42" s="57" t="s">
        <v>231</v>
      </c>
      <c r="H42" s="55" t="s">
        <v>232</v>
      </c>
      <c r="I42" s="55" t="s">
        <v>233</v>
      </c>
      <c r="J42" s="55" t="s">
        <v>234</v>
      </c>
      <c r="K42" s="59" t="s">
        <v>235</v>
      </c>
      <c r="L42" s="55" t="s">
        <v>39</v>
      </c>
      <c r="M42" s="55" t="s">
        <v>236</v>
      </c>
      <c r="N42" s="59" t="s">
        <v>237</v>
      </c>
      <c r="O42" s="55" t="s">
        <v>236</v>
      </c>
      <c r="P42" s="59" t="s">
        <v>238</v>
      </c>
      <c r="Q42" s="60" t="s">
        <v>239</v>
      </c>
      <c r="R42" s="61" t="s">
        <v>253</v>
      </c>
      <c r="S42" s="55" t="s">
        <v>241</v>
      </c>
      <c r="T42" s="68" t="s">
        <v>242</v>
      </c>
      <c r="U42" s="55" t="s">
        <v>243</v>
      </c>
      <c r="V42" s="61">
        <v>26201</v>
      </c>
      <c r="Y42" s="59">
        <v>46233</v>
      </c>
      <c r="Z42" s="55">
        <v>100626</v>
      </c>
      <c r="AA42" s="66">
        <v>3.2188841201716469E-3</v>
      </c>
      <c r="AB42" s="66">
        <v>0.2832618025751073</v>
      </c>
      <c r="AC42" t="s">
        <v>49</v>
      </c>
      <c r="AD42" s="67" t="s">
        <v>146</v>
      </c>
    </row>
    <row r="43" spans="1:30" s="55" customFormat="1" ht="15" customHeight="1" x14ac:dyDescent="0.25">
      <c r="A43" t="s">
        <v>254</v>
      </c>
      <c r="B43" t="s">
        <v>255</v>
      </c>
      <c r="C43" s="56">
        <v>4</v>
      </c>
      <c r="D43" s="59">
        <v>46225</v>
      </c>
      <c r="E43" s="60" t="s">
        <v>229</v>
      </c>
      <c r="F43" s="58" t="s">
        <v>230</v>
      </c>
      <c r="G43" s="57" t="s">
        <v>231</v>
      </c>
      <c r="H43" s="55" t="s">
        <v>232</v>
      </c>
      <c r="I43" s="55" t="s">
        <v>233</v>
      </c>
      <c r="J43" s="55" t="s">
        <v>234</v>
      </c>
      <c r="K43" s="59" t="s">
        <v>235</v>
      </c>
      <c r="L43" s="55" t="s">
        <v>39</v>
      </c>
      <c r="M43" s="55" t="s">
        <v>236</v>
      </c>
      <c r="N43" s="59" t="s">
        <v>237</v>
      </c>
      <c r="O43" s="55" t="s">
        <v>236</v>
      </c>
      <c r="P43" s="59" t="s">
        <v>238</v>
      </c>
      <c r="Q43" s="60" t="s">
        <v>256</v>
      </c>
      <c r="R43" s="61" t="s">
        <v>240</v>
      </c>
      <c r="S43" s="55" t="s">
        <v>241</v>
      </c>
      <c r="T43" s="69" t="s">
        <v>257</v>
      </c>
      <c r="U43" s="55" t="s">
        <v>243</v>
      </c>
      <c r="V43" s="61">
        <v>120126776</v>
      </c>
      <c r="Y43" s="59">
        <v>46233</v>
      </c>
      <c r="Z43" s="55">
        <v>100626</v>
      </c>
      <c r="AA43" s="66">
        <v>4.2322834645669299E-2</v>
      </c>
      <c r="AB43" s="66">
        <v>0.1653543307086614</v>
      </c>
      <c r="AC43" t="s">
        <v>49</v>
      </c>
      <c r="AD43" s="67" t="s">
        <v>62</v>
      </c>
    </row>
    <row r="44" spans="1:30" s="55" customFormat="1" ht="15" customHeight="1" x14ac:dyDescent="0.25">
      <c r="A44" t="s">
        <v>258</v>
      </c>
      <c r="B44" t="s">
        <v>259</v>
      </c>
      <c r="C44" s="56">
        <v>5</v>
      </c>
      <c r="D44" s="59">
        <v>46225</v>
      </c>
      <c r="E44" s="60" t="s">
        <v>248</v>
      </c>
      <c r="F44" s="58" t="s">
        <v>230</v>
      </c>
      <c r="G44" s="57" t="s">
        <v>231</v>
      </c>
      <c r="H44" s="55" t="s">
        <v>232</v>
      </c>
      <c r="I44" s="55" t="s">
        <v>233</v>
      </c>
      <c r="J44" s="55" t="s">
        <v>234</v>
      </c>
      <c r="K44" s="59" t="s">
        <v>235</v>
      </c>
      <c r="L44" s="55" t="s">
        <v>39</v>
      </c>
      <c r="M44" s="55" t="s">
        <v>236</v>
      </c>
      <c r="N44" s="59" t="s">
        <v>237</v>
      </c>
      <c r="O44" s="55" t="s">
        <v>236</v>
      </c>
      <c r="P44" s="59" t="s">
        <v>238</v>
      </c>
      <c r="Q44" s="60" t="s">
        <v>256</v>
      </c>
      <c r="R44" s="61" t="s">
        <v>249</v>
      </c>
      <c r="S44" s="55" t="s">
        <v>241</v>
      </c>
      <c r="T44" s="69" t="s">
        <v>257</v>
      </c>
      <c r="U44" s="55" t="s">
        <v>243</v>
      </c>
      <c r="V44" s="61">
        <v>120126809</v>
      </c>
      <c r="Y44" s="59">
        <v>46233</v>
      </c>
      <c r="Z44" s="55">
        <v>100626</v>
      </c>
      <c r="AA44" s="66">
        <v>1.004184100418409E-2</v>
      </c>
      <c r="AB44" s="66">
        <v>0.2100418410041841</v>
      </c>
      <c r="AC44" t="s">
        <v>49</v>
      </c>
      <c r="AD44" s="67" t="s">
        <v>118</v>
      </c>
    </row>
    <row r="45" spans="1:30" s="55" customFormat="1" ht="15" customHeight="1" x14ac:dyDescent="0.25">
      <c r="A45" t="s">
        <v>260</v>
      </c>
      <c r="B45" t="s">
        <v>261</v>
      </c>
      <c r="C45" s="56">
        <v>6</v>
      </c>
      <c r="D45" s="59">
        <v>46225</v>
      </c>
      <c r="E45" s="60" t="s">
        <v>252</v>
      </c>
      <c r="F45" s="58" t="s">
        <v>230</v>
      </c>
      <c r="G45" s="57" t="s">
        <v>231</v>
      </c>
      <c r="H45" s="55" t="s">
        <v>232</v>
      </c>
      <c r="I45" s="55" t="s">
        <v>233</v>
      </c>
      <c r="J45" s="55" t="s">
        <v>234</v>
      </c>
      <c r="K45" s="59" t="s">
        <v>235</v>
      </c>
      <c r="L45" s="55" t="s">
        <v>39</v>
      </c>
      <c r="M45" s="55" t="s">
        <v>236</v>
      </c>
      <c r="N45" s="59" t="s">
        <v>237</v>
      </c>
      <c r="O45" s="55" t="s">
        <v>236</v>
      </c>
      <c r="P45" s="59" t="s">
        <v>238</v>
      </c>
      <c r="Q45" s="60" t="s">
        <v>256</v>
      </c>
      <c r="R45" s="61" t="s">
        <v>253</v>
      </c>
      <c r="S45" s="55" t="s">
        <v>241</v>
      </c>
      <c r="T45" s="69" t="s">
        <v>257</v>
      </c>
      <c r="U45" s="55" t="s">
        <v>243</v>
      </c>
      <c r="V45" s="61">
        <v>120126787</v>
      </c>
      <c r="Y45" s="59">
        <v>46233</v>
      </c>
      <c r="Z45" s="55">
        <v>100626</v>
      </c>
      <c r="AA45" s="66">
        <v>3.8936372269705588E-2</v>
      </c>
      <c r="AB45" s="66">
        <v>0.19373219373219369</v>
      </c>
      <c r="AC45" t="s">
        <v>49</v>
      </c>
      <c r="AD45" s="67" t="s">
        <v>62</v>
      </c>
    </row>
    <row r="46" spans="1:30" s="55" customFormat="1" ht="15" customHeight="1" x14ac:dyDescent="0.25">
      <c r="A46" t="s">
        <v>262</v>
      </c>
      <c r="B46" t="s">
        <v>263</v>
      </c>
      <c r="C46" s="56">
        <v>7</v>
      </c>
      <c r="D46" s="59">
        <v>46225</v>
      </c>
      <c r="E46" s="60" t="s">
        <v>264</v>
      </c>
      <c r="F46" s="58" t="s">
        <v>230</v>
      </c>
      <c r="G46" s="57" t="s">
        <v>231</v>
      </c>
      <c r="H46" s="55" t="s">
        <v>232</v>
      </c>
      <c r="I46" s="55" t="s">
        <v>233</v>
      </c>
      <c r="J46" s="55" t="s">
        <v>234</v>
      </c>
      <c r="K46" s="59" t="s">
        <v>235</v>
      </c>
      <c r="L46" s="55" t="s">
        <v>39</v>
      </c>
      <c r="M46" s="55" t="s">
        <v>236</v>
      </c>
      <c r="N46" s="59" t="s">
        <v>237</v>
      </c>
      <c r="O46" s="55" t="s">
        <v>236</v>
      </c>
      <c r="P46" s="59" t="s">
        <v>238</v>
      </c>
      <c r="Q46" s="60" t="s">
        <v>265</v>
      </c>
      <c r="R46" s="61" t="s">
        <v>240</v>
      </c>
      <c r="S46" s="55" t="s">
        <v>241</v>
      </c>
      <c r="T46" s="68" t="s">
        <v>266</v>
      </c>
      <c r="U46" s="55" t="s">
        <v>243</v>
      </c>
      <c r="V46" s="61">
        <v>1183981</v>
      </c>
      <c r="Y46" s="59">
        <v>46231</v>
      </c>
      <c r="Z46" s="55">
        <v>100626</v>
      </c>
      <c r="AA46" s="66">
        <v>0</v>
      </c>
      <c r="AB46" s="66">
        <v>0.70660694288913783</v>
      </c>
      <c r="AC46" t="s">
        <v>244</v>
      </c>
      <c r="AD46" s="67" t="s">
        <v>245</v>
      </c>
    </row>
    <row r="47" spans="1:30" s="55" customFormat="1" ht="15" customHeight="1" x14ac:dyDescent="0.25">
      <c r="A47" t="s">
        <v>267</v>
      </c>
      <c r="B47" t="s">
        <v>268</v>
      </c>
      <c r="C47" s="56">
        <v>8</v>
      </c>
      <c r="D47" s="59">
        <v>46225</v>
      </c>
      <c r="E47" s="60" t="s">
        <v>269</v>
      </c>
      <c r="F47" s="58" t="s">
        <v>230</v>
      </c>
      <c r="G47" s="57" t="s">
        <v>231</v>
      </c>
      <c r="H47" s="55" t="s">
        <v>232</v>
      </c>
      <c r="I47" s="55" t="s">
        <v>233</v>
      </c>
      <c r="J47" s="55" t="s">
        <v>234</v>
      </c>
      <c r="K47" s="59" t="s">
        <v>235</v>
      </c>
      <c r="L47" s="55" t="s">
        <v>39</v>
      </c>
      <c r="M47" s="55" t="s">
        <v>236</v>
      </c>
      <c r="N47" s="59" t="s">
        <v>237</v>
      </c>
      <c r="O47" s="55" t="s">
        <v>236</v>
      </c>
      <c r="P47" s="59" t="s">
        <v>238</v>
      </c>
      <c r="Q47" s="60" t="s">
        <v>265</v>
      </c>
      <c r="R47" s="61" t="s">
        <v>240</v>
      </c>
      <c r="S47" s="55" t="s">
        <v>241</v>
      </c>
      <c r="T47" s="68" t="s">
        <v>266</v>
      </c>
      <c r="U47" s="55" t="s">
        <v>243</v>
      </c>
      <c r="V47" s="61">
        <v>1182980</v>
      </c>
      <c r="Y47" s="59">
        <v>46231</v>
      </c>
      <c r="Z47" s="55">
        <v>100626</v>
      </c>
      <c r="AA47" s="66">
        <v>8.0133555926544239E-2</v>
      </c>
      <c r="AB47" s="66">
        <v>0.167779632721202</v>
      </c>
      <c r="AC47" t="s">
        <v>49</v>
      </c>
      <c r="AD47" s="67" t="s">
        <v>62</v>
      </c>
    </row>
    <row r="48" spans="1:30" s="55" customFormat="1" ht="15" customHeight="1" x14ac:dyDescent="0.25">
      <c r="A48" t="s">
        <v>270</v>
      </c>
      <c r="B48" t="s">
        <v>271</v>
      </c>
      <c r="C48" s="72">
        <v>1</v>
      </c>
      <c r="D48" s="73">
        <v>46227</v>
      </c>
      <c r="E48" s="74" t="s">
        <v>264</v>
      </c>
      <c r="F48" s="75" t="s">
        <v>230</v>
      </c>
      <c r="G48" s="76" t="s">
        <v>231</v>
      </c>
      <c r="H48" s="77" t="s">
        <v>232</v>
      </c>
      <c r="I48" s="77" t="s">
        <v>233</v>
      </c>
      <c r="J48" s="77" t="s">
        <v>234</v>
      </c>
      <c r="K48" s="73" t="s">
        <v>272</v>
      </c>
      <c r="L48" s="77" t="s">
        <v>39</v>
      </c>
      <c r="M48" s="77" t="s">
        <v>236</v>
      </c>
      <c r="N48" s="73" t="s">
        <v>273</v>
      </c>
      <c r="O48" s="77" t="s">
        <v>236</v>
      </c>
      <c r="P48" s="73" t="s">
        <v>274</v>
      </c>
      <c r="Q48" t="s">
        <v>275</v>
      </c>
      <c r="R48" s="77" t="s">
        <v>240</v>
      </c>
      <c r="S48" s="77" t="s">
        <v>241</v>
      </c>
      <c r="U48" s="77" t="s">
        <v>243</v>
      </c>
      <c r="V48" s="78">
        <v>1186981</v>
      </c>
      <c r="X48" s="72">
        <v>1</v>
      </c>
      <c r="Y48" s="73">
        <v>46234</v>
      </c>
      <c r="Z48" s="77">
        <v>100626</v>
      </c>
      <c r="AA48" s="79">
        <v>0.26839464882943148</v>
      </c>
      <c r="AB48" s="79">
        <v>0.1204013377926421</v>
      </c>
      <c r="AC48" t="s">
        <v>49</v>
      </c>
      <c r="AD48" s="81" t="s">
        <v>50</v>
      </c>
    </row>
    <row r="49" spans="1:32" s="55" customFormat="1" ht="15" customHeight="1" x14ac:dyDescent="0.25">
      <c r="A49" t="s">
        <v>276</v>
      </c>
      <c r="B49" t="s">
        <v>277</v>
      </c>
      <c r="C49" s="72">
        <v>2</v>
      </c>
      <c r="D49" s="73">
        <v>46227</v>
      </c>
      <c r="E49" s="74" t="s">
        <v>278</v>
      </c>
      <c r="F49" s="75" t="s">
        <v>230</v>
      </c>
      <c r="G49" s="76" t="s">
        <v>231</v>
      </c>
      <c r="H49" s="77" t="s">
        <v>232</v>
      </c>
      <c r="I49" s="77" t="s">
        <v>233</v>
      </c>
      <c r="J49" s="77" t="s">
        <v>234</v>
      </c>
      <c r="K49" s="73" t="s">
        <v>272</v>
      </c>
      <c r="L49" s="77" t="s">
        <v>39</v>
      </c>
      <c r="M49" s="77" t="s">
        <v>236</v>
      </c>
      <c r="N49" s="73" t="s">
        <v>273</v>
      </c>
      <c r="O49" s="77" t="s">
        <v>236</v>
      </c>
      <c r="P49" s="73" t="s">
        <v>274</v>
      </c>
      <c r="Q49" t="s">
        <v>279</v>
      </c>
      <c r="R49" s="77" t="s">
        <v>280</v>
      </c>
      <c r="S49" s="77" t="s">
        <v>281</v>
      </c>
      <c r="U49" s="77" t="s">
        <v>243</v>
      </c>
      <c r="V49" s="78">
        <v>400612</v>
      </c>
      <c r="W49" s="73">
        <v>46224</v>
      </c>
      <c r="X49" s="72">
        <v>2</v>
      </c>
      <c r="Y49" s="77"/>
      <c r="Z49" s="77">
        <v>100626</v>
      </c>
      <c r="AA49" s="79">
        <v>8.5959885386819555E-3</v>
      </c>
      <c r="AB49" s="79">
        <v>0.26074498567335241</v>
      </c>
      <c r="AC49" t="s">
        <v>49</v>
      </c>
      <c r="AD49" s="81" t="s">
        <v>118</v>
      </c>
    </row>
    <row r="50" spans="1:32" ht="15" customHeight="1" x14ac:dyDescent="0.25">
      <c r="A50" t="s">
        <v>282</v>
      </c>
      <c r="B50" t="s">
        <v>283</v>
      </c>
      <c r="C50" s="72">
        <v>3</v>
      </c>
      <c r="D50" s="73">
        <v>46227</v>
      </c>
      <c r="E50" s="74" t="s">
        <v>284</v>
      </c>
      <c r="F50" s="75" t="s">
        <v>230</v>
      </c>
      <c r="G50" s="76" t="s">
        <v>231</v>
      </c>
      <c r="H50" s="77" t="s">
        <v>232</v>
      </c>
      <c r="I50" s="77" t="s">
        <v>233</v>
      </c>
      <c r="J50" s="77" t="s">
        <v>234</v>
      </c>
      <c r="K50" s="73" t="s">
        <v>272</v>
      </c>
      <c r="L50" s="77" t="s">
        <v>39</v>
      </c>
      <c r="M50" s="77" t="s">
        <v>236</v>
      </c>
      <c r="N50" s="73" t="s">
        <v>273</v>
      </c>
      <c r="O50" s="77" t="s">
        <v>236</v>
      </c>
      <c r="P50" s="73" t="s">
        <v>274</v>
      </c>
      <c r="Q50" t="s">
        <v>285</v>
      </c>
      <c r="R50" s="77" t="s">
        <v>280</v>
      </c>
      <c r="S50" s="77" t="s">
        <v>281</v>
      </c>
      <c r="U50" s="77" t="s">
        <v>243</v>
      </c>
      <c r="V50" s="78" t="s">
        <v>286</v>
      </c>
      <c r="W50" s="73">
        <v>46225</v>
      </c>
      <c r="X50" s="72">
        <v>3</v>
      </c>
      <c r="Y50" s="77"/>
      <c r="Z50" s="77">
        <v>100626</v>
      </c>
      <c r="AA50" s="79">
        <v>0.18035882908404149</v>
      </c>
      <c r="AB50" s="79">
        <v>0.15014164305948999</v>
      </c>
      <c r="AC50" t="s">
        <v>49</v>
      </c>
      <c r="AD50" s="81" t="s">
        <v>62</v>
      </c>
    </row>
    <row r="51" spans="1:32" ht="15" customHeight="1" x14ac:dyDescent="0.25">
      <c r="A51" t="s">
        <v>287</v>
      </c>
      <c r="B51" t="s">
        <v>288</v>
      </c>
      <c r="C51" s="72">
        <v>4</v>
      </c>
      <c r="D51" s="73">
        <v>46227</v>
      </c>
      <c r="E51" s="74" t="s">
        <v>284</v>
      </c>
      <c r="F51" s="75" t="s">
        <v>230</v>
      </c>
      <c r="G51" s="76" t="s">
        <v>231</v>
      </c>
      <c r="H51" s="77" t="s">
        <v>232</v>
      </c>
      <c r="I51" s="77" t="s">
        <v>233</v>
      </c>
      <c r="J51" s="77" t="s">
        <v>234</v>
      </c>
      <c r="K51" s="73" t="s">
        <v>272</v>
      </c>
      <c r="L51" s="77" t="s">
        <v>39</v>
      </c>
      <c r="M51" s="77" t="s">
        <v>236</v>
      </c>
      <c r="N51" s="73" t="s">
        <v>273</v>
      </c>
      <c r="O51" s="77" t="s">
        <v>236</v>
      </c>
      <c r="P51" s="73" t="s">
        <v>274</v>
      </c>
      <c r="Q51" t="s">
        <v>289</v>
      </c>
      <c r="R51" s="77" t="s">
        <v>280</v>
      </c>
      <c r="S51" s="77" t="s">
        <v>281</v>
      </c>
      <c r="U51" s="77" t="s">
        <v>243</v>
      </c>
      <c r="V51" s="78">
        <v>30390</v>
      </c>
      <c r="W51" s="73">
        <v>46225</v>
      </c>
      <c r="X51" s="72">
        <v>4</v>
      </c>
      <c r="Y51" s="77"/>
      <c r="Z51" s="77">
        <v>100626</v>
      </c>
      <c r="AA51" s="79">
        <v>0.13821989528795811</v>
      </c>
      <c r="AB51" s="79">
        <v>0.17696335078534031</v>
      </c>
      <c r="AC51" t="s">
        <v>49</v>
      </c>
      <c r="AD51" s="81" t="s">
        <v>62</v>
      </c>
    </row>
    <row r="52" spans="1:32" ht="15" customHeight="1" x14ac:dyDescent="0.25">
      <c r="A52" t="s">
        <v>290</v>
      </c>
      <c r="B52" t="s">
        <v>291</v>
      </c>
      <c r="C52" s="72">
        <v>5</v>
      </c>
      <c r="D52" s="73">
        <v>46227</v>
      </c>
      <c r="E52" s="74" t="s">
        <v>292</v>
      </c>
      <c r="F52" s="75" t="s">
        <v>230</v>
      </c>
      <c r="G52" s="76" t="s">
        <v>231</v>
      </c>
      <c r="H52" s="77" t="s">
        <v>232</v>
      </c>
      <c r="I52" s="77" t="s">
        <v>233</v>
      </c>
      <c r="J52" s="77" t="s">
        <v>234</v>
      </c>
      <c r="K52" s="73" t="s">
        <v>272</v>
      </c>
      <c r="L52" s="77" t="s">
        <v>39</v>
      </c>
      <c r="M52" s="77" t="s">
        <v>236</v>
      </c>
      <c r="N52" s="73" t="s">
        <v>273</v>
      </c>
      <c r="O52" s="77" t="s">
        <v>236</v>
      </c>
      <c r="P52" s="73" t="s">
        <v>274</v>
      </c>
      <c r="Q52" t="s">
        <v>293</v>
      </c>
      <c r="R52" s="77" t="s">
        <v>280</v>
      </c>
      <c r="S52" s="77" t="s">
        <v>281</v>
      </c>
      <c r="U52" s="77" t="s">
        <v>243</v>
      </c>
      <c r="V52" s="78">
        <v>46224</v>
      </c>
      <c r="W52" s="73">
        <v>46225</v>
      </c>
      <c r="X52" s="72">
        <v>5</v>
      </c>
      <c r="Y52" s="77"/>
      <c r="Z52" s="77">
        <v>100626</v>
      </c>
      <c r="AA52" s="79">
        <v>0.45411013567438152</v>
      </c>
      <c r="AB52" s="79">
        <v>0.15163607342378299</v>
      </c>
      <c r="AC52" t="s">
        <v>49</v>
      </c>
      <c r="AD52" s="81" t="s">
        <v>62</v>
      </c>
    </row>
    <row r="53" spans="1:32" ht="15" customHeight="1" x14ac:dyDescent="0.25">
      <c r="A53" t="s">
        <v>294</v>
      </c>
      <c r="B53" t="s">
        <v>295</v>
      </c>
      <c r="C53" s="72">
        <v>6</v>
      </c>
      <c r="D53" s="73">
        <v>46227</v>
      </c>
      <c r="E53" s="74" t="s">
        <v>292</v>
      </c>
      <c r="F53" s="75" t="s">
        <v>230</v>
      </c>
      <c r="G53" s="76" t="s">
        <v>231</v>
      </c>
      <c r="H53" s="77" t="s">
        <v>232</v>
      </c>
      <c r="I53" s="77" t="s">
        <v>233</v>
      </c>
      <c r="J53" s="77" t="s">
        <v>234</v>
      </c>
      <c r="K53" s="73" t="s">
        <v>272</v>
      </c>
      <c r="L53" s="77" t="s">
        <v>39</v>
      </c>
      <c r="M53" s="77" t="s">
        <v>236</v>
      </c>
      <c r="N53" s="73" t="s">
        <v>273</v>
      </c>
      <c r="O53" s="77" t="s">
        <v>236</v>
      </c>
      <c r="P53" s="73" t="s">
        <v>274</v>
      </c>
      <c r="Q53" t="s">
        <v>296</v>
      </c>
      <c r="R53" s="77" t="s">
        <v>280</v>
      </c>
      <c r="S53" s="77" t="s">
        <v>297</v>
      </c>
      <c r="U53" s="77" t="s">
        <v>243</v>
      </c>
      <c r="V53" s="78">
        <v>120126787</v>
      </c>
      <c r="W53" s="73">
        <v>46227</v>
      </c>
      <c r="X53" s="72">
        <v>6</v>
      </c>
      <c r="Y53" s="77"/>
      <c r="Z53" s="77">
        <v>100626</v>
      </c>
      <c r="AA53" s="79">
        <v>0.46874999999999989</v>
      </c>
      <c r="AB53" s="79">
        <v>0.1463815789473685</v>
      </c>
      <c r="AC53" t="s">
        <v>49</v>
      </c>
      <c r="AD53" s="81" t="s">
        <v>62</v>
      </c>
    </row>
    <row r="54" spans="1:32" ht="15" customHeight="1" x14ac:dyDescent="0.25">
      <c r="A54" t="s">
        <v>298</v>
      </c>
      <c r="B54" t="s">
        <v>299</v>
      </c>
      <c r="C54" s="72">
        <v>7</v>
      </c>
      <c r="D54" s="73">
        <v>46227</v>
      </c>
      <c r="E54" s="74" t="s">
        <v>300</v>
      </c>
      <c r="F54" s="75" t="s">
        <v>230</v>
      </c>
      <c r="G54" s="76" t="s">
        <v>231</v>
      </c>
      <c r="H54" s="77" t="s">
        <v>232</v>
      </c>
      <c r="I54" s="77" t="s">
        <v>233</v>
      </c>
      <c r="J54" s="77" t="s">
        <v>234</v>
      </c>
      <c r="K54" s="73" t="s">
        <v>272</v>
      </c>
      <c r="L54" s="77" t="s">
        <v>39</v>
      </c>
      <c r="M54" s="77" t="s">
        <v>236</v>
      </c>
      <c r="N54" s="73" t="s">
        <v>273</v>
      </c>
      <c r="O54" s="77" t="s">
        <v>236</v>
      </c>
      <c r="P54" s="73" t="s">
        <v>274</v>
      </c>
      <c r="Q54" t="s">
        <v>275</v>
      </c>
      <c r="R54" s="77" t="s">
        <v>240</v>
      </c>
      <c r="S54" t="s">
        <v>297</v>
      </c>
      <c r="U54" s="77" t="s">
        <v>243</v>
      </c>
      <c r="V54" s="78">
        <v>1195990</v>
      </c>
      <c r="X54" s="72">
        <v>7</v>
      </c>
      <c r="Y54" s="73">
        <v>46234</v>
      </c>
      <c r="Z54" s="77">
        <v>100626</v>
      </c>
      <c r="AA54" s="79">
        <v>0.40946843853820603</v>
      </c>
      <c r="AB54" s="79">
        <v>0.14534883720930231</v>
      </c>
      <c r="AC54" t="s">
        <v>49</v>
      </c>
      <c r="AD54" s="81" t="s">
        <v>118</v>
      </c>
    </row>
    <row r="55" spans="1:32" ht="15" customHeight="1" x14ac:dyDescent="0.25">
      <c r="A55" t="s">
        <v>301</v>
      </c>
      <c r="B55" t="s">
        <v>302</v>
      </c>
      <c r="C55" s="72">
        <v>8</v>
      </c>
      <c r="D55" s="73">
        <v>46227</v>
      </c>
      <c r="E55" s="74" t="s">
        <v>303</v>
      </c>
      <c r="F55" s="75" t="s">
        <v>230</v>
      </c>
      <c r="G55" s="76" t="s">
        <v>231</v>
      </c>
      <c r="H55" s="77" t="s">
        <v>232</v>
      </c>
      <c r="I55" s="77" t="s">
        <v>233</v>
      </c>
      <c r="J55" s="77" t="s">
        <v>234</v>
      </c>
      <c r="K55" s="73" t="s">
        <v>272</v>
      </c>
      <c r="L55" s="77" t="s">
        <v>39</v>
      </c>
      <c r="M55" s="77" t="s">
        <v>236</v>
      </c>
      <c r="N55" s="73" t="s">
        <v>273</v>
      </c>
      <c r="O55" s="77" t="s">
        <v>236</v>
      </c>
      <c r="P55" s="73" t="s">
        <v>274</v>
      </c>
      <c r="Q55" t="s">
        <v>275</v>
      </c>
      <c r="R55" s="77" t="s">
        <v>240</v>
      </c>
      <c r="S55" s="77" t="s">
        <v>281</v>
      </c>
      <c r="U55" s="77" t="s">
        <v>243</v>
      </c>
      <c r="V55" s="78">
        <v>1196991</v>
      </c>
      <c r="X55" s="72">
        <v>8</v>
      </c>
      <c r="Y55" s="73">
        <v>46234</v>
      </c>
      <c r="Z55" s="77">
        <v>100626</v>
      </c>
      <c r="AA55" s="79">
        <v>0</v>
      </c>
      <c r="AB55" s="80">
        <v>0.62228654124457305</v>
      </c>
      <c r="AC55" t="s">
        <v>244</v>
      </c>
      <c r="AD55" s="82" t="s">
        <v>215</v>
      </c>
    </row>
    <row r="56" spans="1:32" ht="15.6" customHeight="1" x14ac:dyDescent="0.25">
      <c r="A56" t="s">
        <v>304</v>
      </c>
      <c r="B56" t="s">
        <v>305</v>
      </c>
      <c r="C56" s="72">
        <v>9</v>
      </c>
      <c r="D56" s="73">
        <v>46227</v>
      </c>
      <c r="E56" s="74" t="s">
        <v>306</v>
      </c>
      <c r="F56" s="75" t="s">
        <v>230</v>
      </c>
      <c r="G56" s="76" t="s">
        <v>231</v>
      </c>
      <c r="H56" s="77" t="s">
        <v>232</v>
      </c>
      <c r="I56" s="77" t="s">
        <v>233</v>
      </c>
      <c r="J56" s="77" t="s">
        <v>234</v>
      </c>
      <c r="K56" s="73" t="s">
        <v>272</v>
      </c>
      <c r="L56" s="77" t="s">
        <v>39</v>
      </c>
      <c r="M56" s="77" t="s">
        <v>236</v>
      </c>
      <c r="N56" s="73" t="s">
        <v>273</v>
      </c>
      <c r="O56" s="77" t="s">
        <v>236</v>
      </c>
      <c r="P56" s="73" t="s">
        <v>274</v>
      </c>
      <c r="Q56" t="s">
        <v>239</v>
      </c>
      <c r="R56" s="77" t="s">
        <v>253</v>
      </c>
      <c r="S56" s="77" t="s">
        <v>281</v>
      </c>
      <c r="U56" s="77" t="s">
        <v>243</v>
      </c>
      <c r="V56" s="78">
        <v>26204</v>
      </c>
      <c r="X56" s="72">
        <v>9</v>
      </c>
      <c r="Y56" s="73">
        <v>46236</v>
      </c>
      <c r="Z56" s="77">
        <v>100626</v>
      </c>
      <c r="AA56" s="79">
        <v>1.8716577540106971E-2</v>
      </c>
      <c r="AB56" s="79">
        <v>0.16666666666666671</v>
      </c>
      <c r="AC56" t="s">
        <v>49</v>
      </c>
      <c r="AD56" s="83" t="s">
        <v>307</v>
      </c>
    </row>
    <row r="57" spans="1:32" x14ac:dyDescent="0.25">
      <c r="A57" t="s">
        <v>308</v>
      </c>
      <c r="B57" t="s">
        <v>309</v>
      </c>
      <c r="C57" s="72">
        <v>1</v>
      </c>
      <c r="D57" s="84">
        <v>46239</v>
      </c>
      <c r="E57" s="85" t="s">
        <v>310</v>
      </c>
      <c r="F57" s="86" t="s">
        <v>230</v>
      </c>
      <c r="G57" s="87" t="s">
        <v>311</v>
      </c>
      <c r="H57" s="88" t="s">
        <v>232</v>
      </c>
      <c r="I57" s="88" t="s">
        <v>233</v>
      </c>
      <c r="J57" s="88" t="s">
        <v>234</v>
      </c>
      <c r="K57" s="88" t="s">
        <v>312</v>
      </c>
      <c r="L57" s="77" t="s">
        <v>39</v>
      </c>
      <c r="M57" s="77" t="s">
        <v>236</v>
      </c>
      <c r="N57" s="88" t="s">
        <v>313</v>
      </c>
      <c r="O57" s="88" t="s">
        <v>236</v>
      </c>
      <c r="P57" s="89" t="s">
        <v>314</v>
      </c>
      <c r="Q57" t="s">
        <v>239</v>
      </c>
      <c r="R57" s="90" t="s">
        <v>315</v>
      </c>
      <c r="S57" s="77" t="s">
        <v>241</v>
      </c>
      <c r="T57" s="90"/>
      <c r="U57" s="77" t="s">
        <v>243</v>
      </c>
      <c r="V57" s="91">
        <v>26216</v>
      </c>
      <c r="W57" s="77"/>
      <c r="X57" s="91"/>
      <c r="Y57" s="73">
        <v>46247</v>
      </c>
      <c r="Z57" s="77">
        <v>100626</v>
      </c>
      <c r="AA57" s="92">
        <v>1.7171717171717161E-2</v>
      </c>
      <c r="AB57" s="93">
        <v>0.1767676767676768</v>
      </c>
      <c r="AC57" t="s">
        <v>49</v>
      </c>
      <c r="AD57" s="94" t="s">
        <v>62</v>
      </c>
      <c r="AE57" s="55"/>
      <c r="AF57" s="55"/>
    </row>
    <row r="58" spans="1:32" x14ac:dyDescent="0.25">
      <c r="A58" t="s">
        <v>316</v>
      </c>
      <c r="B58" t="s">
        <v>317</v>
      </c>
      <c r="C58" s="72">
        <v>2</v>
      </c>
      <c r="D58" s="84">
        <v>46239</v>
      </c>
      <c r="E58" s="85" t="s">
        <v>318</v>
      </c>
      <c r="F58" s="86" t="s">
        <v>230</v>
      </c>
      <c r="G58" s="87" t="s">
        <v>311</v>
      </c>
      <c r="H58" s="88" t="s">
        <v>232</v>
      </c>
      <c r="I58" s="88" t="s">
        <v>233</v>
      </c>
      <c r="J58" s="88" t="s">
        <v>234</v>
      </c>
      <c r="K58" s="88" t="s">
        <v>312</v>
      </c>
      <c r="L58" s="77" t="s">
        <v>39</v>
      </c>
      <c r="M58" s="77" t="s">
        <v>236</v>
      </c>
      <c r="N58" s="88" t="s">
        <v>313</v>
      </c>
      <c r="O58" s="88" t="s">
        <v>236</v>
      </c>
      <c r="P58" s="89" t="s">
        <v>314</v>
      </c>
      <c r="Q58" t="s">
        <v>239</v>
      </c>
      <c r="R58" s="90" t="s">
        <v>319</v>
      </c>
      <c r="S58" s="77" t="s">
        <v>241</v>
      </c>
      <c r="T58" s="90"/>
      <c r="U58" s="77" t="s">
        <v>243</v>
      </c>
      <c r="V58" s="91">
        <v>26216</v>
      </c>
      <c r="W58" s="77"/>
      <c r="X58" s="91"/>
      <c r="Y58" s="73">
        <v>46247</v>
      </c>
      <c r="Z58" s="77">
        <v>100626</v>
      </c>
      <c r="AA58" s="92">
        <v>1.5079365079365069E-2</v>
      </c>
      <c r="AB58" s="93">
        <v>0.1650793650793651</v>
      </c>
      <c r="AC58" t="s">
        <v>49</v>
      </c>
      <c r="AD58" s="94" t="s">
        <v>62</v>
      </c>
    </row>
    <row r="59" spans="1:32" x14ac:dyDescent="0.25">
      <c r="A59" t="s">
        <v>320</v>
      </c>
      <c r="B59" t="s">
        <v>321</v>
      </c>
      <c r="C59" s="72">
        <v>3</v>
      </c>
      <c r="D59" s="84">
        <v>46239</v>
      </c>
      <c r="E59" s="85" t="s">
        <v>322</v>
      </c>
      <c r="F59" s="86" t="s">
        <v>230</v>
      </c>
      <c r="G59" s="87" t="s">
        <v>311</v>
      </c>
      <c r="H59" s="88" t="s">
        <v>232</v>
      </c>
      <c r="I59" s="88" t="s">
        <v>233</v>
      </c>
      <c r="J59" s="88" t="s">
        <v>234</v>
      </c>
      <c r="K59" s="88" t="s">
        <v>312</v>
      </c>
      <c r="L59" s="77" t="s">
        <v>39</v>
      </c>
      <c r="M59" s="77" t="s">
        <v>236</v>
      </c>
      <c r="N59" s="88" t="s">
        <v>313</v>
      </c>
      <c r="O59" s="88" t="s">
        <v>236</v>
      </c>
      <c r="P59" s="89" t="s">
        <v>314</v>
      </c>
      <c r="Q59" t="s">
        <v>239</v>
      </c>
      <c r="R59" s="90" t="s">
        <v>315</v>
      </c>
      <c r="S59" s="77" t="s">
        <v>241</v>
      </c>
      <c r="T59" s="90"/>
      <c r="U59" s="77" t="s">
        <v>243</v>
      </c>
      <c r="V59" s="91">
        <v>26217</v>
      </c>
      <c r="W59" s="77"/>
      <c r="X59" s="91"/>
      <c r="Y59" s="73">
        <v>46247</v>
      </c>
      <c r="Z59" s="77">
        <v>100626</v>
      </c>
      <c r="AA59" s="92">
        <v>1.2785388127853891E-2</v>
      </c>
      <c r="AB59" s="95">
        <v>0.55981735159817347</v>
      </c>
      <c r="AC59" t="s">
        <v>244</v>
      </c>
      <c r="AD59" s="96" t="s">
        <v>215</v>
      </c>
    </row>
    <row r="60" spans="1:32" x14ac:dyDescent="0.25">
      <c r="A60" t="s">
        <v>323</v>
      </c>
      <c r="B60" t="s">
        <v>324</v>
      </c>
      <c r="C60" s="72">
        <v>4</v>
      </c>
      <c r="D60" s="84">
        <v>46239</v>
      </c>
      <c r="E60" s="85" t="s">
        <v>322</v>
      </c>
      <c r="F60" s="86" t="s">
        <v>230</v>
      </c>
      <c r="G60" s="87" t="s">
        <v>311</v>
      </c>
      <c r="H60" s="88" t="s">
        <v>232</v>
      </c>
      <c r="I60" s="88" t="s">
        <v>233</v>
      </c>
      <c r="J60" s="88" t="s">
        <v>234</v>
      </c>
      <c r="K60" s="88" t="s">
        <v>312</v>
      </c>
      <c r="L60" s="77" t="s">
        <v>39</v>
      </c>
      <c r="M60" s="77" t="s">
        <v>236</v>
      </c>
      <c r="N60" s="88" t="s">
        <v>313</v>
      </c>
      <c r="O60" s="88" t="s">
        <v>236</v>
      </c>
      <c r="P60" s="89" t="s">
        <v>314</v>
      </c>
      <c r="Q60" t="s">
        <v>256</v>
      </c>
      <c r="R60" s="90" t="s">
        <v>315</v>
      </c>
      <c r="S60" s="77" t="s">
        <v>241</v>
      </c>
      <c r="T60" s="90"/>
      <c r="U60" s="77" t="s">
        <v>243</v>
      </c>
      <c r="V60" s="91">
        <v>121526300</v>
      </c>
      <c r="W60" s="77"/>
      <c r="X60" s="91"/>
      <c r="Y60" s="73">
        <v>46248</v>
      </c>
      <c r="Z60" s="77">
        <v>100626</v>
      </c>
      <c r="AA60" s="92">
        <v>1.5079365079365069E-2</v>
      </c>
      <c r="AB60" s="93">
        <v>0.29841269841269841</v>
      </c>
      <c r="AC60" t="s">
        <v>49</v>
      </c>
      <c r="AD60" s="94" t="s">
        <v>146</v>
      </c>
    </row>
    <row r="61" spans="1:32" x14ac:dyDescent="0.25">
      <c r="A61" t="s">
        <v>325</v>
      </c>
      <c r="B61" t="s">
        <v>326</v>
      </c>
      <c r="C61" s="72">
        <v>5</v>
      </c>
      <c r="D61" s="84">
        <v>46239</v>
      </c>
      <c r="E61" s="85" t="s">
        <v>310</v>
      </c>
      <c r="F61" s="86" t="s">
        <v>230</v>
      </c>
      <c r="G61" s="87" t="s">
        <v>311</v>
      </c>
      <c r="H61" s="88" t="s">
        <v>232</v>
      </c>
      <c r="I61" s="88" t="s">
        <v>233</v>
      </c>
      <c r="J61" s="88" t="s">
        <v>234</v>
      </c>
      <c r="K61" s="88" t="s">
        <v>312</v>
      </c>
      <c r="L61" s="77" t="s">
        <v>39</v>
      </c>
      <c r="M61" s="77" t="s">
        <v>236</v>
      </c>
      <c r="N61" s="88" t="s">
        <v>313</v>
      </c>
      <c r="O61" s="88" t="s">
        <v>236</v>
      </c>
      <c r="P61" s="89" t="s">
        <v>314</v>
      </c>
      <c r="Q61" t="s">
        <v>256</v>
      </c>
      <c r="R61" s="90" t="s">
        <v>315</v>
      </c>
      <c r="S61" s="77" t="s">
        <v>241</v>
      </c>
      <c r="T61" s="90"/>
      <c r="U61" s="77" t="s">
        <v>243</v>
      </c>
      <c r="V61" s="91">
        <v>121526286</v>
      </c>
      <c r="W61" s="77"/>
      <c r="X61" s="91"/>
      <c r="Y61" s="73">
        <v>46248</v>
      </c>
      <c r="Z61" s="77">
        <v>100626</v>
      </c>
      <c r="AA61" s="92">
        <v>-2.8517110266159718E-3</v>
      </c>
      <c r="AB61" s="95">
        <v>0.65969581749049422</v>
      </c>
      <c r="AC61" t="s">
        <v>244</v>
      </c>
      <c r="AD61" s="96" t="s">
        <v>215</v>
      </c>
    </row>
    <row r="62" spans="1:32" x14ac:dyDescent="0.25">
      <c r="A62" t="s">
        <v>327</v>
      </c>
      <c r="B62" t="s">
        <v>328</v>
      </c>
      <c r="C62" s="72">
        <v>6</v>
      </c>
      <c r="D62" s="84">
        <v>46239</v>
      </c>
      <c r="E62" s="85" t="s">
        <v>318</v>
      </c>
      <c r="F62" s="86" t="s">
        <v>230</v>
      </c>
      <c r="G62" s="87" t="s">
        <v>311</v>
      </c>
      <c r="H62" s="88" t="s">
        <v>232</v>
      </c>
      <c r="I62" s="88" t="s">
        <v>233</v>
      </c>
      <c r="J62" s="88" t="s">
        <v>234</v>
      </c>
      <c r="K62" s="88" t="s">
        <v>312</v>
      </c>
      <c r="L62" s="77" t="s">
        <v>39</v>
      </c>
      <c r="M62" s="77" t="s">
        <v>236</v>
      </c>
      <c r="N62" s="88" t="s">
        <v>313</v>
      </c>
      <c r="O62" s="88" t="s">
        <v>236</v>
      </c>
      <c r="P62" s="89" t="s">
        <v>314</v>
      </c>
      <c r="Q62" t="s">
        <v>256</v>
      </c>
      <c r="R62" s="90" t="s">
        <v>319</v>
      </c>
      <c r="S62" s="77" t="s">
        <v>241</v>
      </c>
      <c r="T62" s="90"/>
      <c r="U62" s="77" t="s">
        <v>243</v>
      </c>
      <c r="V62" s="91">
        <v>121526286</v>
      </c>
      <c r="W62" s="77"/>
      <c r="X62" s="91"/>
      <c r="Y62" s="73">
        <v>46248</v>
      </c>
      <c r="Z62" s="77">
        <v>100626</v>
      </c>
      <c r="AA62" s="92">
        <v>1.2235817575083409E-2</v>
      </c>
      <c r="AB62" s="95">
        <v>0.56173526140155727</v>
      </c>
      <c r="AC62" t="s">
        <v>244</v>
      </c>
      <c r="AD62" s="96" t="s">
        <v>215</v>
      </c>
    </row>
    <row r="63" spans="1:32" x14ac:dyDescent="0.25">
      <c r="A63" t="s">
        <v>329</v>
      </c>
      <c r="B63" t="s">
        <v>330</v>
      </c>
      <c r="C63" s="72">
        <v>7</v>
      </c>
      <c r="D63" s="84">
        <v>46239</v>
      </c>
      <c r="E63" s="85" t="s">
        <v>331</v>
      </c>
      <c r="F63" s="86" t="s">
        <v>230</v>
      </c>
      <c r="G63" s="87" t="s">
        <v>311</v>
      </c>
      <c r="H63" s="88" t="s">
        <v>232</v>
      </c>
      <c r="I63" s="88" t="s">
        <v>233</v>
      </c>
      <c r="J63" s="88" t="s">
        <v>234</v>
      </c>
      <c r="K63" s="88" t="s">
        <v>312</v>
      </c>
      <c r="L63" s="77" t="s">
        <v>39</v>
      </c>
      <c r="M63" s="77" t="s">
        <v>236</v>
      </c>
      <c r="N63" s="88" t="s">
        <v>313</v>
      </c>
      <c r="O63" s="88" t="s">
        <v>236</v>
      </c>
      <c r="P63" s="89" t="s">
        <v>314</v>
      </c>
      <c r="Q63" t="s">
        <v>256</v>
      </c>
      <c r="R63" s="90" t="s">
        <v>332</v>
      </c>
      <c r="S63" s="77" t="s">
        <v>241</v>
      </c>
      <c r="T63" s="90"/>
      <c r="U63" s="77" t="s">
        <v>243</v>
      </c>
      <c r="V63" s="91">
        <v>121526300</v>
      </c>
      <c r="W63" s="77"/>
      <c r="X63" s="91"/>
      <c r="Y63" s="73">
        <v>46248</v>
      </c>
      <c r="Z63" s="77">
        <v>100626</v>
      </c>
      <c r="AA63" s="92">
        <v>1.9801980198019799E-2</v>
      </c>
      <c r="AB63" s="93">
        <v>0.29504950495049509</v>
      </c>
      <c r="AC63" t="s">
        <v>49</v>
      </c>
      <c r="AD63" s="94" t="s">
        <v>146</v>
      </c>
    </row>
    <row r="64" spans="1:32" x14ac:dyDescent="0.25">
      <c r="A64" t="s">
        <v>333</v>
      </c>
      <c r="B64" t="s">
        <v>334</v>
      </c>
      <c r="C64" s="72">
        <v>8</v>
      </c>
      <c r="D64" s="84">
        <v>46239</v>
      </c>
      <c r="E64" s="85" t="s">
        <v>335</v>
      </c>
      <c r="F64" s="86" t="s">
        <v>230</v>
      </c>
      <c r="G64" s="87" t="s">
        <v>311</v>
      </c>
      <c r="H64" s="88" t="s">
        <v>232</v>
      </c>
      <c r="I64" s="88" t="s">
        <v>233</v>
      </c>
      <c r="J64" s="88" t="s">
        <v>234</v>
      </c>
      <c r="K64" s="88" t="s">
        <v>312</v>
      </c>
      <c r="L64" s="77" t="s">
        <v>39</v>
      </c>
      <c r="M64" s="77" t="s">
        <v>236</v>
      </c>
      <c r="N64" s="88" t="s">
        <v>313</v>
      </c>
      <c r="O64" s="88" t="s">
        <v>236</v>
      </c>
      <c r="P64" s="89" t="s">
        <v>314</v>
      </c>
      <c r="Q64" t="s">
        <v>336</v>
      </c>
      <c r="R64" s="90" t="s">
        <v>337</v>
      </c>
      <c r="S64" s="77" t="s">
        <v>241</v>
      </c>
      <c r="T64" s="90"/>
      <c r="U64" s="77" t="s">
        <v>243</v>
      </c>
      <c r="V64" s="91" t="s">
        <v>338</v>
      </c>
      <c r="W64" s="77"/>
      <c r="X64" s="91"/>
      <c r="Z64" s="77">
        <v>100626</v>
      </c>
      <c r="AA64" s="92">
        <v>7.4165636588380789E-3</v>
      </c>
      <c r="AB64" s="95">
        <v>0.40296662546353529</v>
      </c>
      <c r="AC64" t="s">
        <v>244</v>
      </c>
      <c r="AD64" s="96" t="s">
        <v>215</v>
      </c>
    </row>
    <row r="65" spans="1:30" ht="15.75" customHeight="1" x14ac:dyDescent="0.25">
      <c r="A65" t="s">
        <v>416</v>
      </c>
      <c r="B65">
        <v>26101613</v>
      </c>
      <c r="C65" s="72">
        <v>8</v>
      </c>
      <c r="D65" s="84">
        <v>46311</v>
      </c>
      <c r="E65" s="105" t="s">
        <v>207</v>
      </c>
      <c r="F65" s="106" t="s">
        <v>33</v>
      </c>
      <c r="G65" s="107" t="s">
        <v>34</v>
      </c>
      <c r="H65" s="107" t="s">
        <v>35</v>
      </c>
      <c r="I65" s="107" t="s">
        <v>36</v>
      </c>
      <c r="J65" s="107" t="s">
        <v>37</v>
      </c>
      <c r="K65" s="108">
        <v>46259</v>
      </c>
      <c r="L65" s="107" t="s">
        <v>39</v>
      </c>
      <c r="M65" s="107" t="s">
        <v>40</v>
      </c>
      <c r="N65" s="109" t="s">
        <v>208</v>
      </c>
      <c r="O65" s="107" t="s">
        <v>178</v>
      </c>
      <c r="P65" s="109" t="s">
        <v>209</v>
      </c>
      <c r="Q65" s="105" t="s">
        <v>210</v>
      </c>
      <c r="R65" s="110"/>
      <c r="S65" s="111" t="s">
        <v>46</v>
      </c>
      <c r="T65" s="110"/>
      <c r="U65" s="110"/>
      <c r="V65" s="116">
        <v>1524271</v>
      </c>
      <c r="W65" s="114"/>
      <c r="X65" s="100"/>
      <c r="Y65" s="102">
        <v>46264</v>
      </c>
      <c r="Z65" s="112">
        <v>250426</v>
      </c>
      <c r="AA65" s="98">
        <v>0.51503267973856215</v>
      </c>
      <c r="AB65" s="98">
        <f>1-AA65</f>
        <v>0.48496732026143785</v>
      </c>
      <c r="AC65" t="s">
        <v>49</v>
      </c>
      <c r="AD65" s="118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workbookViewId="0">
      <selection activeCell="B19" sqref="B19"/>
    </sheetView>
  </sheetViews>
  <sheetFormatPr baseColWidth="10" defaultColWidth="9.140625" defaultRowHeight="15" x14ac:dyDescent="0.25"/>
  <cols>
    <col min="1" max="1" width="33.28515625" customWidth="1"/>
    <col min="2" max="2" width="19.28515625" customWidth="1"/>
  </cols>
  <sheetData>
    <row r="1" spans="1:2" s="16" customFormat="1" x14ac:dyDescent="0.25">
      <c r="A1" s="16" t="s">
        <v>339</v>
      </c>
      <c r="B1" s="16" t="s">
        <v>340</v>
      </c>
    </row>
    <row r="2" spans="1:2" x14ac:dyDescent="0.25">
      <c r="A2" t="s">
        <v>341</v>
      </c>
      <c r="B2" t="s">
        <v>342</v>
      </c>
    </row>
    <row r="3" spans="1:2" x14ac:dyDescent="0.25">
      <c r="A3" t="s">
        <v>343</v>
      </c>
      <c r="B3" t="s">
        <v>344</v>
      </c>
    </row>
    <row r="4" spans="1:2" x14ac:dyDescent="0.25">
      <c r="A4" t="s">
        <v>345</v>
      </c>
      <c r="B4" t="s">
        <v>346</v>
      </c>
    </row>
    <row r="5" spans="1:2" x14ac:dyDescent="0.25">
      <c r="A5" t="s">
        <v>281</v>
      </c>
      <c r="B5" t="s">
        <v>347</v>
      </c>
    </row>
    <row r="6" spans="1:2" x14ac:dyDescent="0.25">
      <c r="A6" t="s">
        <v>297</v>
      </c>
      <c r="B6" t="s">
        <v>348</v>
      </c>
    </row>
    <row r="7" spans="1:2" x14ac:dyDescent="0.25">
      <c r="A7" t="s">
        <v>349</v>
      </c>
      <c r="B7" t="s">
        <v>350</v>
      </c>
    </row>
    <row r="8" spans="1:2" x14ac:dyDescent="0.25">
      <c r="A8" t="s">
        <v>351</v>
      </c>
      <c r="B8" t="s">
        <v>352</v>
      </c>
    </row>
    <row r="9" spans="1:2" x14ac:dyDescent="0.25">
      <c r="A9" t="s">
        <v>353</v>
      </c>
      <c r="B9" t="s">
        <v>354</v>
      </c>
    </row>
    <row r="10" spans="1:2" x14ac:dyDescent="0.25">
      <c r="A10" t="s">
        <v>355</v>
      </c>
      <c r="B10" t="s">
        <v>356</v>
      </c>
    </row>
    <row r="11" spans="1:2" x14ac:dyDescent="0.25">
      <c r="A11" t="s">
        <v>357</v>
      </c>
      <c r="B11" t="s">
        <v>358</v>
      </c>
    </row>
    <row r="12" spans="1:2" x14ac:dyDescent="0.25">
      <c r="A12" t="s">
        <v>359</v>
      </c>
      <c r="B12" t="s">
        <v>360</v>
      </c>
    </row>
    <row r="13" spans="1:2" x14ac:dyDescent="0.25">
      <c r="A13" t="s">
        <v>46</v>
      </c>
      <c r="B13" t="s">
        <v>361</v>
      </c>
    </row>
    <row r="14" spans="1:2" x14ac:dyDescent="0.25">
      <c r="A14" t="s">
        <v>196</v>
      </c>
      <c r="B14" t="s">
        <v>362</v>
      </c>
    </row>
    <row r="15" spans="1:2" x14ac:dyDescent="0.25">
      <c r="A15" t="s">
        <v>203</v>
      </c>
      <c r="B15" t="s">
        <v>363</v>
      </c>
    </row>
    <row r="16" spans="1:2" x14ac:dyDescent="0.25">
      <c r="A16" t="s">
        <v>151</v>
      </c>
      <c r="B16" t="s">
        <v>417</v>
      </c>
    </row>
  </sheetData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34.85546875" customWidth="1"/>
    <col min="2" max="2" width="21.5703125" customWidth="1"/>
  </cols>
  <sheetData>
    <row r="1" spans="1:2" s="70" customFormat="1" x14ac:dyDescent="0.25">
      <c r="A1" s="70" t="s">
        <v>364</v>
      </c>
      <c r="B1" s="70" t="s">
        <v>365</v>
      </c>
    </row>
    <row r="2" spans="1:2" x14ac:dyDescent="0.25">
      <c r="A2" t="s">
        <v>366</v>
      </c>
      <c r="B2" t="s">
        <v>367</v>
      </c>
    </row>
    <row r="3" spans="1:2" x14ac:dyDescent="0.25">
      <c r="A3" t="s">
        <v>256</v>
      </c>
      <c r="B3" t="s">
        <v>257</v>
      </c>
    </row>
    <row r="4" spans="1:2" x14ac:dyDescent="0.25">
      <c r="A4" t="s">
        <v>275</v>
      </c>
      <c r="B4" t="s">
        <v>266</v>
      </c>
    </row>
    <row r="5" spans="1:2" x14ac:dyDescent="0.25">
      <c r="A5" t="s">
        <v>368</v>
      </c>
      <c r="B5" t="s">
        <v>369</v>
      </c>
    </row>
    <row r="6" spans="1:2" x14ac:dyDescent="0.25">
      <c r="A6" t="s">
        <v>239</v>
      </c>
      <c r="B6" t="s">
        <v>242</v>
      </c>
    </row>
    <row r="7" spans="1:2" x14ac:dyDescent="0.25">
      <c r="A7" t="s">
        <v>336</v>
      </c>
      <c r="B7" t="s">
        <v>370</v>
      </c>
    </row>
    <row r="8" spans="1:2" x14ac:dyDescent="0.25">
      <c r="A8" t="s">
        <v>371</v>
      </c>
      <c r="B8" t="s">
        <v>372</v>
      </c>
    </row>
    <row r="9" spans="1:2" x14ac:dyDescent="0.25">
      <c r="A9" t="s">
        <v>373</v>
      </c>
      <c r="B9" t="s">
        <v>374</v>
      </c>
    </row>
    <row r="10" spans="1:2" x14ac:dyDescent="0.25">
      <c r="A10" t="s">
        <v>375</v>
      </c>
      <c r="B10" t="s">
        <v>376</v>
      </c>
    </row>
    <row r="11" spans="1:2" x14ac:dyDescent="0.25">
      <c r="A11" t="s">
        <v>377</v>
      </c>
      <c r="B11" t="s">
        <v>378</v>
      </c>
    </row>
    <row r="12" spans="1:2" x14ac:dyDescent="0.25">
      <c r="A12" t="s">
        <v>379</v>
      </c>
      <c r="B12" t="s">
        <v>372</v>
      </c>
    </row>
    <row r="13" spans="1:2" x14ac:dyDescent="0.25">
      <c r="A13" t="s">
        <v>293</v>
      </c>
      <c r="B13" t="s">
        <v>380</v>
      </c>
    </row>
    <row r="14" spans="1:2" x14ac:dyDescent="0.25">
      <c r="A14" t="s">
        <v>289</v>
      </c>
      <c r="B14" t="s">
        <v>381</v>
      </c>
    </row>
    <row r="15" spans="1:2" x14ac:dyDescent="0.25">
      <c r="A15" t="s">
        <v>382</v>
      </c>
      <c r="B15" t="s">
        <v>383</v>
      </c>
    </row>
    <row r="16" spans="1:2" x14ac:dyDescent="0.25">
      <c r="A16" t="s">
        <v>384</v>
      </c>
      <c r="B16" t="s">
        <v>385</v>
      </c>
    </row>
    <row r="17" spans="1:2" x14ac:dyDescent="0.25">
      <c r="A17" t="s">
        <v>386</v>
      </c>
      <c r="B17" t="s">
        <v>387</v>
      </c>
    </row>
    <row r="18" spans="1:2" x14ac:dyDescent="0.25">
      <c r="A18" t="s">
        <v>285</v>
      </c>
      <c r="B18" t="s">
        <v>388</v>
      </c>
    </row>
    <row r="19" spans="1:2" x14ac:dyDescent="0.25">
      <c r="A19" t="s">
        <v>296</v>
      </c>
      <c r="B19" t="s">
        <v>389</v>
      </c>
    </row>
    <row r="20" spans="1:2" x14ac:dyDescent="0.25">
      <c r="A20" t="s">
        <v>390</v>
      </c>
      <c r="B20" t="s">
        <v>391</v>
      </c>
    </row>
    <row r="21" spans="1:2" x14ac:dyDescent="0.25">
      <c r="A21" t="s">
        <v>392</v>
      </c>
      <c r="B21" t="s">
        <v>393</v>
      </c>
    </row>
    <row r="22" spans="1:2" x14ac:dyDescent="0.25">
      <c r="A22" t="s">
        <v>394</v>
      </c>
      <c r="B22" t="s">
        <v>395</v>
      </c>
    </row>
    <row r="23" spans="1:2" x14ac:dyDescent="0.25">
      <c r="A23" t="s">
        <v>396</v>
      </c>
      <c r="B23" t="s">
        <v>397</v>
      </c>
    </row>
    <row r="24" spans="1:2" x14ac:dyDescent="0.25">
      <c r="A24" t="s">
        <v>398</v>
      </c>
      <c r="B24" t="s">
        <v>399</v>
      </c>
    </row>
    <row r="25" spans="1:2" x14ac:dyDescent="0.25">
      <c r="A25" t="s">
        <v>279</v>
      </c>
      <c r="B25" t="s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opLeftCell="A4" workbookViewId="0">
      <selection activeCell="C6" sqref="C6"/>
    </sheetView>
  </sheetViews>
  <sheetFormatPr baseColWidth="10" defaultColWidth="11.42578125" defaultRowHeight="15" x14ac:dyDescent="0.25"/>
  <cols>
    <col min="1" max="1" width="31.140625" customWidth="1"/>
    <col min="2" max="2" width="42.85546875" customWidth="1"/>
    <col min="3" max="3" width="46.28515625" customWidth="1"/>
  </cols>
  <sheetData>
    <row r="1" spans="1:3" s="16" customFormat="1" x14ac:dyDescent="0.25">
      <c r="A1" s="70" t="s">
        <v>401</v>
      </c>
      <c r="B1" s="70" t="s">
        <v>402</v>
      </c>
    </row>
    <row r="2" spans="1:3" ht="90" customHeight="1" x14ac:dyDescent="0.25">
      <c r="A2" t="s">
        <v>403</v>
      </c>
      <c r="B2" s="71" t="s">
        <v>404</v>
      </c>
    </row>
    <row r="3" spans="1:3" ht="90" customHeight="1" x14ac:dyDescent="0.25">
      <c r="A3" t="s">
        <v>405</v>
      </c>
      <c r="B3" s="71" t="s">
        <v>406</v>
      </c>
    </row>
    <row r="4" spans="1:3" ht="90" customHeight="1" x14ac:dyDescent="0.25">
      <c r="A4" t="s">
        <v>407</v>
      </c>
      <c r="B4" s="71" t="s">
        <v>408</v>
      </c>
    </row>
    <row r="5" spans="1:3" ht="60" customHeight="1" x14ac:dyDescent="0.25">
      <c r="A5" t="s">
        <v>409</v>
      </c>
      <c r="B5" s="71" t="s">
        <v>410</v>
      </c>
    </row>
    <row r="6" spans="1:3" ht="60" customHeight="1" x14ac:dyDescent="0.25">
      <c r="A6" t="s">
        <v>361</v>
      </c>
      <c r="B6" s="71" t="s">
        <v>411</v>
      </c>
      <c r="C6" s="71"/>
    </row>
    <row r="7" spans="1:3" ht="90" customHeight="1" x14ac:dyDescent="0.25">
      <c r="A7" t="s">
        <v>412</v>
      </c>
      <c r="B7" s="71" t="s">
        <v>413</v>
      </c>
    </row>
    <row r="8" spans="1:3" ht="57.6" customHeight="1" x14ac:dyDescent="0.25">
      <c r="A8" t="s">
        <v>362</v>
      </c>
      <c r="B8" s="71" t="s">
        <v>414</v>
      </c>
    </row>
    <row r="9" spans="1:3" ht="57.6" customHeight="1" x14ac:dyDescent="0.25">
      <c r="A9" t="s">
        <v>363</v>
      </c>
      <c r="B9" s="7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especes</vt:lpstr>
      <vt:lpstr>fournisseurs</vt:lpstr>
      <vt:lpstr>espece-critere_qualite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2026-10-23T08:04:19Z</dcterms:modified>
</cp:coreProperties>
</file>