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speces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espece-critere_quali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CC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color rgb="FF222222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FF0000CC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i val="1"/>
      <color rgb="FF202122"/>
      <sz val="12"/>
    </font>
    <font>
      <name val="Calibri"/>
      <family val="2"/>
      <color rgb="FF000000"/>
      <sz val="12"/>
    </font>
    <font>
      <name val="Arial"/>
      <family val="2"/>
      <color rgb="FF222222"/>
      <sz val="12"/>
    </font>
    <font>
      <name val="Calibri"/>
      <family val="2"/>
      <color rgb="FFFF0000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rgb="FFFF0000"/>
      <sz val="10"/>
      <scheme val="minor"/>
    </font>
    <font>
      <name val="Calibri Light"/>
      <family val="2"/>
      <i val="1"/>
      <color rgb="FFFF0000"/>
      <sz val="8"/>
    </font>
    <font>
      <name val="Calibri"/>
      <family val="2"/>
      <b val="1"/>
      <color rgb="FFFF0000"/>
      <sz val="11"/>
      <scheme val="minor"/>
    </font>
    <font>
      <name val="Arial"/>
      <family val="2"/>
      <color rgb="FFFF0000"/>
      <sz val="12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3" fillId="0" borderId="0"/>
    <xf numFmtId="9" fontId="3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center"/>
    </xf>
    <xf numFmtId="14" fontId="7" fillId="2" borderId="1" applyAlignment="1" pivotButton="0" quotePrefix="0" xfId="0">
      <alignment horizontal="right" vertical="center"/>
    </xf>
    <xf numFmtId="14" fontId="7" fillId="2" borderId="1" applyAlignment="1" pivotButton="0" quotePrefix="0" xfId="0">
      <alignment vertical="center"/>
    </xf>
    <xf numFmtId="9" fontId="5" fillId="0" borderId="1" applyAlignment="1" pivotButton="0" quotePrefix="0" xfId="1">
      <alignment horizontal="center"/>
    </xf>
    <xf numFmtId="9" fontId="6" fillId="0" borderId="1" pivotButton="0" quotePrefix="0" xfId="0"/>
    <xf numFmtId="0" fontId="7" fillId="3" borderId="1" applyAlignment="1" pivotButton="0" quotePrefix="0" xfId="0">
      <alignment vertical="center"/>
    </xf>
    <xf numFmtId="14" fontId="7" fillId="3" borderId="1" applyAlignment="1" pivotButton="0" quotePrefix="0" xfId="0">
      <alignment vertical="center"/>
    </xf>
    <xf numFmtId="14" fontId="7" fillId="3" borderId="1" applyAlignment="1" pivotButton="0" quotePrefix="0" xfId="0">
      <alignment horizontal="right" vertical="center"/>
    </xf>
    <xf numFmtId="164" fontId="6" fillId="0" borderId="1" pivotButton="0" quotePrefix="0" xfId="0"/>
    <xf numFmtId="0" fontId="6" fillId="0" borderId="1" pivotButton="0" quotePrefix="0" xfId="0"/>
    <xf numFmtId="0" fontId="8" fillId="2" borderId="1" pivotButton="0" quotePrefix="0" xfId="0"/>
    <xf numFmtId="0" fontId="7" fillId="2" borderId="1" applyAlignment="1" pivotButton="0" quotePrefix="0" xfId="0">
      <alignment horizontal="left" vertical="center"/>
    </xf>
    <xf numFmtId="9" fontId="0" fillId="0" borderId="0" pivotButton="0" quotePrefix="0" xfId="0"/>
    <xf numFmtId="0" fontId="4" fillId="0" borderId="0" pivotButton="0" quotePrefix="0" xfId="0"/>
    <xf numFmtId="0" fontId="9" fillId="2" borderId="1" applyAlignment="1" pivotButton="0" quotePrefix="0" xfId="0">
      <alignment vertical="center"/>
    </xf>
    <xf numFmtId="9" fontId="4" fillId="0" borderId="0" pivotButton="0" quotePrefix="0" xfId="0"/>
    <xf numFmtId="164" fontId="11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2" fillId="0" borderId="1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14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right" vertical="center"/>
    </xf>
    <xf numFmtId="16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 wrapText="1"/>
    </xf>
    <xf numFmtId="14" fontId="4" fillId="0" borderId="1" pivotButton="0" quotePrefix="0" xfId="0"/>
    <xf numFmtId="0" fontId="6" fillId="0" borderId="1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3" fillId="0" borderId="1" pivotButton="0" quotePrefix="0" xfId="0"/>
    <xf numFmtId="16" fontId="7" fillId="0" borderId="1" applyAlignment="1" pivotButton="0" quotePrefix="0" xfId="0">
      <alignment horizontal="right" vertical="center"/>
    </xf>
    <xf numFmtId="9" fontId="5" fillId="0" borderId="2" applyAlignment="1" pivotButton="0" quotePrefix="0" xfId="1">
      <alignment horizontal="center"/>
    </xf>
    <xf numFmtId="9" fontId="5" fillId="3" borderId="2" applyAlignment="1" pivotButton="0" quotePrefix="0" xfId="1">
      <alignment horizontal="center"/>
    </xf>
    <xf numFmtId="164" fontId="10" fillId="0" borderId="2" applyAlignment="1" pivotButton="0" quotePrefix="0" xfId="1">
      <alignment horizontal="center"/>
    </xf>
    <xf numFmtId="164" fontId="5" fillId="0" borderId="2" applyAlignment="1" pivotButton="0" quotePrefix="0" xfId="1">
      <alignment horizontal="center"/>
    </xf>
    <xf numFmtId="9" fontId="5" fillId="0" borderId="3" applyAlignment="1" pivotButton="0" quotePrefix="0" xfId="1">
      <alignment horizontal="center"/>
    </xf>
    <xf numFmtId="0" fontId="0" fillId="4" borderId="1" pivotButton="0" quotePrefix="0" xfId="0"/>
    <xf numFmtId="9" fontId="0" fillId="0" borderId="1" pivotButton="0" quotePrefix="0" xfId="0"/>
    <xf numFmtId="0" fontId="14" fillId="2" borderId="1" applyAlignment="1" pivotButton="0" quotePrefix="0" xfId="0">
      <alignment horizontal="right" vertical="center"/>
    </xf>
    <xf numFmtId="0" fontId="14" fillId="2" borderId="1" applyAlignment="1" pivotButton="0" quotePrefix="0" xfId="0">
      <alignment vertical="center"/>
    </xf>
    <xf numFmtId="0" fontId="15" fillId="2" borderId="1" pivotButton="0" quotePrefix="0" xfId="0"/>
    <xf numFmtId="14" fontId="14" fillId="2" borderId="1" applyAlignment="1" pivotButton="0" quotePrefix="0" xfId="0">
      <alignment horizontal="right" vertical="center"/>
    </xf>
    <xf numFmtId="17" fontId="14" fillId="2" borderId="1" applyAlignment="1" pivotButton="0" quotePrefix="0" xfId="0">
      <alignment horizontal="right" vertical="center"/>
    </xf>
    <xf numFmtId="16" fontId="0" fillId="0" borderId="4" pivotButton="0" quotePrefix="0" xfId="0"/>
    <xf numFmtId="0" fontId="0" fillId="5" borderId="1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" fontId="16" fillId="0" borderId="0" pivotButton="0" quotePrefix="0" xfId="0"/>
    <xf numFmtId="0" fontId="19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16" fontId="0" fillId="0" borderId="0" pivotButton="0" quotePrefix="0" xfId="0"/>
    <xf numFmtId="0" fontId="14" fillId="2" borderId="0" applyAlignment="1" pivotButton="0" quotePrefix="0" xfId="0">
      <alignment vertical="center"/>
    </xf>
    <xf numFmtId="0" fontId="0" fillId="5" borderId="0" pivotButton="0" quotePrefix="0" xfId="0"/>
    <xf numFmtId="9" fontId="20" fillId="0" borderId="1" applyAlignment="1" pivotButton="0" quotePrefix="0" xfId="1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opLeftCell="M1" zoomScale="85" zoomScaleNormal="85" workbookViewId="0">
      <selection activeCell="S30" sqref="S30"/>
    </sheetView>
  </sheetViews>
  <sheetFormatPr baseColWidth="10" defaultColWidth="20.7109375" defaultRowHeight="15"/>
  <cols>
    <col width="36.5703125" customWidth="1" min="1" max="1"/>
    <col width="20.7109375" customWidth="1" min="2" max="2"/>
    <col width="20.7109375" customWidth="1" style="21" min="3" max="3"/>
    <col width="35" customWidth="1" min="5" max="5"/>
    <col width="32.7109375" customWidth="1" min="6" max="6"/>
    <col width="53.140625" customWidth="1" min="7" max="7"/>
    <col width="29.85546875" customWidth="1" min="8" max="8"/>
    <col width="28.85546875" customWidth="1" min="9" max="9"/>
    <col width="47" customWidth="1" min="10" max="10"/>
    <col width="28.140625" customWidth="1" min="11" max="11"/>
    <col width="26.140625" customWidth="1" min="12" max="12"/>
    <col width="26.42578125" customWidth="1" min="13" max="13"/>
    <col width="23.140625" customWidth="1" min="14" max="14"/>
    <col width="29.5703125" customWidth="1" min="17" max="17"/>
    <col width="17.28515625" customWidth="1" min="24" max="24"/>
  </cols>
  <sheetData>
    <row r="1" ht="35.1" customHeight="1">
      <c r="A1" s="20" t="inlineStr">
        <is>
          <t>nom rapport generé</t>
        </is>
      </c>
      <c r="B1" s="20" t="inlineStr">
        <is>
          <t>numero rapport</t>
        </is>
      </c>
      <c r="C1" s="20" t="inlineStr">
        <is>
          <t>numero echantillon</t>
        </is>
      </c>
      <c r="D1" s="20" t="inlineStr">
        <is>
          <t>date rapport</t>
        </is>
      </c>
      <c r="E1" s="20" t="inlineStr">
        <is>
          <t>appellation produit</t>
        </is>
      </c>
      <c r="F1" s="20" t="inlineStr">
        <is>
          <t>nom entreprise client</t>
        </is>
      </c>
      <c r="G1" s="20" t="inlineStr">
        <is>
          <t>adresse entreprise client</t>
        </is>
      </c>
      <c r="H1" s="20" t="inlineStr">
        <is>
          <t>nom destinataire</t>
        </is>
      </c>
      <c r="I1" s="20" t="inlineStr">
        <is>
          <t>titre poste destinataire</t>
        </is>
      </c>
      <c r="J1" s="20" t="inlineStr">
        <is>
          <t>Lieu de prelevment</t>
        </is>
      </c>
      <c r="K1" s="20" t="inlineStr">
        <is>
          <t>date heure prelevment</t>
        </is>
      </c>
      <c r="L1" s="20" t="inlineStr">
        <is>
          <t>ville prelevement</t>
        </is>
      </c>
      <c r="M1" s="20" t="inlineStr">
        <is>
          <t>conditions coservation reception</t>
        </is>
      </c>
      <c r="N1" s="20" t="inlineStr">
        <is>
          <t>date heure arrive labo</t>
        </is>
      </c>
      <c r="O1" s="20" t="inlineStr">
        <is>
          <t>temperature reception</t>
        </is>
      </c>
      <c r="P1" s="20" t="inlineStr">
        <is>
          <t>date heure mise en analyse</t>
        </is>
      </c>
      <c r="Q1" s="20" t="inlineStr">
        <is>
          <t>fournisseur fabricant</t>
        </is>
      </c>
      <c r="R1" s="20" t="inlineStr">
        <is>
          <t>conditionnement</t>
        </is>
      </c>
      <c r="S1" s="20" t="inlineStr">
        <is>
          <t>espece</t>
        </is>
      </c>
      <c r="T1" s="20" t="inlineStr">
        <is>
          <t>agrement</t>
        </is>
      </c>
      <c r="U1" s="20" t="inlineStr">
        <is>
          <t>origine</t>
        </is>
      </c>
      <c r="V1" s="20" t="inlineStr">
        <is>
          <t>lot</t>
        </is>
      </c>
      <c r="W1" s="20" t="inlineStr">
        <is>
          <t>date emabalage</t>
        </is>
      </c>
      <c r="X1" s="20" t="inlineStr">
        <is>
          <t>code article</t>
        </is>
      </c>
      <c r="Y1" s="20" t="inlineStr">
        <is>
          <t>dlc</t>
        </is>
      </c>
      <c r="Z1" s="20" t="inlineStr">
        <is>
          <t>lot precice</t>
        </is>
      </c>
      <c r="AA1" s="1" t="inlineStr">
        <is>
          <t>imp</t>
        </is>
      </c>
      <c r="AB1" s="1" t="inlineStr">
        <is>
          <t>k value</t>
        </is>
      </c>
      <c r="AC1" s="1" t="inlineStr">
        <is>
          <t>conformite</t>
        </is>
      </c>
      <c r="AD1" s="1" t="inlineStr">
        <is>
          <t>qualite</t>
        </is>
      </c>
    </row>
    <row r="2">
      <c r="A2" s="28" t="inlineStr">
        <is>
          <t>NOVOCIB Rapport d'essai 260621-1</t>
        </is>
      </c>
      <c r="B2" s="69" t="inlineStr">
        <is>
          <t>260621-1</t>
        </is>
      </c>
      <c r="C2" s="29" t="n">
        <v>1</v>
      </c>
      <c r="D2" s="28" t="n">
        <v>46194</v>
      </c>
      <c r="E2" s="3" t="inlineStr">
        <is>
          <t>Thon frais naturel 1</t>
        </is>
      </c>
      <c r="F2" s="30" t="inlineStr">
        <is>
          <t>Comptoirs Océaniques</t>
        </is>
      </c>
      <c r="G2" s="30" t="inlineStr">
        <is>
          <t>7 rue Gustave Serruier, 76620 Le Havre</t>
        </is>
      </c>
      <c r="H2" s="30" t="inlineStr">
        <is>
          <t>Adeline Levasseur</t>
        </is>
      </c>
      <c r="I2" s="30" t="inlineStr">
        <is>
          <t>Directrice qualité</t>
        </is>
      </c>
      <c r="J2" s="30" t="inlineStr">
        <is>
          <t>Comptoir Océanique</t>
        </is>
      </c>
      <c r="K2" s="30" t="inlineStr">
        <is>
          <t>04/06/2026 12h</t>
        </is>
      </c>
      <c r="L2" s="30" t="inlineStr">
        <is>
          <t>Boulogne-sur-Mer</t>
        </is>
      </c>
      <c r="M2" s="30" t="inlineStr">
        <is>
          <t>glace</t>
        </is>
      </c>
      <c r="N2" s="30" t="inlineStr">
        <is>
          <t>04/06/2026 12h15</t>
        </is>
      </c>
      <c r="O2" s="30" t="inlineStr">
        <is>
          <t>4°C</t>
        </is>
      </c>
      <c r="P2" s="30" t="inlineStr">
        <is>
          <t>04/06/2026 14h</t>
        </is>
      </c>
      <c r="Q2" s="3" t="inlineStr">
        <is>
          <t>big fish</t>
        </is>
      </c>
      <c r="R2" s="14" t="inlineStr">
        <is>
          <t>1.8kg</t>
        </is>
      </c>
      <c r="S2" s="69" t="inlineStr">
        <is>
          <t>Thunnus albacares</t>
        </is>
      </c>
      <c r="T2" s="3" t="inlineStr">
        <is>
          <t>FAO 51</t>
        </is>
      </c>
      <c r="U2" s="3" t="inlineStr">
        <is>
          <t>Maldives FAO51</t>
        </is>
      </c>
      <c r="V2" s="3" t="n">
        <v>31052026</v>
      </c>
      <c r="W2" s="4" t="n">
        <v>46173</v>
      </c>
      <c r="X2" s="13" t="n"/>
      <c r="Y2" s="4" t="n">
        <v>46187</v>
      </c>
      <c r="Z2" s="69" t="n">
        <v>230426</v>
      </c>
      <c r="AA2" s="41" t="n">
        <v>0.738026819923372</v>
      </c>
      <c r="AB2" s="15">
        <f>1-AA2</f>
        <v/>
      </c>
      <c r="AC2" t="inlineStr">
        <is>
          <t>conforme(s) au(x) critère(s)</t>
        </is>
      </c>
      <c r="AD2" s="7" t="inlineStr">
        <is>
          <t>Extra</t>
        </is>
      </c>
    </row>
    <row r="3">
      <c r="A3" s="28" t="n"/>
      <c r="B3" s="69" t="n"/>
      <c r="C3" s="29" t="n">
        <v>11</v>
      </c>
      <c r="D3" s="28" t="n">
        <v>46194</v>
      </c>
      <c r="E3" s="8" t="inlineStr">
        <is>
          <t>Thon décongelé 11</t>
        </is>
      </c>
      <c r="F3" s="30" t="inlineStr">
        <is>
          <t>Comptoirs Océaniques</t>
        </is>
      </c>
      <c r="G3" s="30" t="inlineStr">
        <is>
          <t>7 rue Gustave Serruier, 76620 Le Havre</t>
        </is>
      </c>
      <c r="H3" s="30" t="inlineStr">
        <is>
          <t>Adeline Levasseur</t>
        </is>
      </c>
      <c r="I3" s="30" t="inlineStr">
        <is>
          <t>Directrice qualité</t>
        </is>
      </c>
      <c r="J3" s="30" t="inlineStr">
        <is>
          <t>Comptoir Océanique</t>
        </is>
      </c>
      <c r="K3" s="30" t="inlineStr">
        <is>
          <t>04/06/2026 12h</t>
        </is>
      </c>
      <c r="L3" s="30" t="inlineStr">
        <is>
          <t>Boulogne-sur-Mer</t>
        </is>
      </c>
      <c r="M3" s="30" t="inlineStr">
        <is>
          <t>glace</t>
        </is>
      </c>
      <c r="N3" s="30" t="inlineStr">
        <is>
          <t>04/06/2026 12h15</t>
        </is>
      </c>
      <c r="O3" s="30" t="inlineStr">
        <is>
          <t>4°C</t>
        </is>
      </c>
      <c r="P3" s="30" t="inlineStr">
        <is>
          <t>04/06/2026 14h</t>
        </is>
      </c>
      <c r="Q3" s="8" t="inlineStr">
        <is>
          <t>dongwon</t>
        </is>
      </c>
      <c r="R3" s="31" t="n"/>
      <c r="S3" s="69" t="inlineStr">
        <is>
          <t>Thunnus albacares</t>
        </is>
      </c>
      <c r="T3" s="8" t="inlineStr">
        <is>
          <t>FAO 71</t>
        </is>
      </c>
      <c r="U3" s="8" t="inlineStr">
        <is>
          <t>Corée FAO71</t>
        </is>
      </c>
      <c r="V3" s="8" t="inlineStr">
        <is>
          <t>DW 2605</t>
        </is>
      </c>
      <c r="W3" s="9" t="n">
        <v>46175</v>
      </c>
      <c r="X3" s="32" t="n">
        <v>70947</v>
      </c>
      <c r="Y3" s="9" t="n">
        <v>46182</v>
      </c>
      <c r="Z3" s="69" t="n">
        <v>230426</v>
      </c>
      <c r="AA3" s="42" t="n">
        <v>0.84312606959498</v>
      </c>
      <c r="AB3" s="15">
        <f>1-AA3</f>
        <v/>
      </c>
      <c r="AC3" t="inlineStr">
        <is>
          <t>conforme(s) au(x) critère(s)</t>
        </is>
      </c>
      <c r="AD3" s="7" t="inlineStr">
        <is>
          <t>Sashimi</t>
        </is>
      </c>
    </row>
    <row r="4">
      <c r="A4" s="28" t="n"/>
      <c r="B4" s="69" t="n"/>
      <c r="C4" s="29" t="n">
        <v>2</v>
      </c>
      <c r="D4" s="28" t="n">
        <v>46194</v>
      </c>
      <c r="E4" s="3" t="inlineStr">
        <is>
          <t>Thon frais naturel 2</t>
        </is>
      </c>
      <c r="F4" s="30" t="inlineStr">
        <is>
          <t>Comptoirs Océaniques</t>
        </is>
      </c>
      <c r="G4" s="30" t="inlineStr">
        <is>
          <t>7 rue Gustave Serruier, 76620 Le Havre</t>
        </is>
      </c>
      <c r="H4" s="30" t="inlineStr">
        <is>
          <t>Adeline Levasseur</t>
        </is>
      </c>
      <c r="I4" s="30" t="inlineStr">
        <is>
          <t>Directrice qualité</t>
        </is>
      </c>
      <c r="J4" s="30" t="inlineStr">
        <is>
          <t>Comptoir Océanique</t>
        </is>
      </c>
      <c r="K4" s="30" t="inlineStr">
        <is>
          <t>05/06/2026 12H</t>
        </is>
      </c>
      <c r="L4" s="30" t="inlineStr">
        <is>
          <t>Boulogne-sur-Mer</t>
        </is>
      </c>
      <c r="M4" s="30" t="inlineStr">
        <is>
          <t>glace</t>
        </is>
      </c>
      <c r="N4" s="30" t="inlineStr">
        <is>
          <t>05/06/2026 12H15</t>
        </is>
      </c>
      <c r="O4" s="30" t="inlineStr">
        <is>
          <t>4°C</t>
        </is>
      </c>
      <c r="P4" s="30" t="inlineStr">
        <is>
          <t>05/06/2026 14h</t>
        </is>
      </c>
      <c r="Q4" s="3" t="inlineStr">
        <is>
          <t>big fish</t>
        </is>
      </c>
      <c r="R4" s="14" t="inlineStr">
        <is>
          <t>2kg</t>
        </is>
      </c>
      <c r="S4" s="69" t="inlineStr">
        <is>
          <t>Thunnus albacares</t>
        </is>
      </c>
      <c r="T4" s="3" t="inlineStr">
        <is>
          <t>FAO 51</t>
        </is>
      </c>
      <c r="U4" s="3" t="inlineStr">
        <is>
          <t>Maldives FAO51</t>
        </is>
      </c>
      <c r="V4" s="3" t="n">
        <v>31052026</v>
      </c>
      <c r="W4" s="4" t="n">
        <v>46173</v>
      </c>
      <c r="X4" s="13" t="n"/>
      <c r="Y4" s="4" t="n">
        <v>46187</v>
      </c>
      <c r="Z4" s="69" t="n">
        <v>230426</v>
      </c>
      <c r="AA4" s="41" t="n">
        <v>0.626439659489234</v>
      </c>
      <c r="AB4" s="15">
        <f>1-AA4</f>
        <v/>
      </c>
      <c r="AC4" t="inlineStr">
        <is>
          <t>conforme(s) au(x) critère(s)</t>
        </is>
      </c>
      <c r="AD4" s="7" t="inlineStr">
        <is>
          <t>A+</t>
        </is>
      </c>
    </row>
    <row r="5">
      <c r="A5" s="28" t="n"/>
      <c r="B5" s="69" t="n"/>
      <c r="C5" s="29" t="n">
        <v>12</v>
      </c>
      <c r="D5" s="28" t="n">
        <v>46194</v>
      </c>
      <c r="E5" s="8" t="inlineStr">
        <is>
          <t>Thon décongelé 12</t>
        </is>
      </c>
      <c r="F5" s="30" t="inlineStr">
        <is>
          <t>Comptoirs Océaniques</t>
        </is>
      </c>
      <c r="G5" s="30" t="inlineStr">
        <is>
          <t>7 rue Gustave Serruier, 76620 Le Havre</t>
        </is>
      </c>
      <c r="H5" s="30" t="inlineStr">
        <is>
          <t>Adeline Levasseur</t>
        </is>
      </c>
      <c r="I5" s="30" t="inlineStr">
        <is>
          <t>Directrice qualité</t>
        </is>
      </c>
      <c r="J5" s="30" t="inlineStr">
        <is>
          <t>Comptoir Océanique</t>
        </is>
      </c>
      <c r="K5" s="30" t="inlineStr">
        <is>
          <t>05/06/2026 12H</t>
        </is>
      </c>
      <c r="L5" s="30" t="inlineStr">
        <is>
          <t>Boulogne-sur-Mer</t>
        </is>
      </c>
      <c r="M5" s="30" t="inlineStr">
        <is>
          <t>glace</t>
        </is>
      </c>
      <c r="N5" s="30" t="inlineStr">
        <is>
          <t>05/06/2026 12H15</t>
        </is>
      </c>
      <c r="O5" s="30" t="inlineStr">
        <is>
          <t>4°C</t>
        </is>
      </c>
      <c r="P5" s="30" t="inlineStr">
        <is>
          <t>05/06/2026 14h</t>
        </is>
      </c>
      <c r="Q5" s="8" t="inlineStr">
        <is>
          <t>shin hyun</t>
        </is>
      </c>
      <c r="R5" s="31" t="n"/>
      <c r="S5" s="69" t="inlineStr">
        <is>
          <t>Thunnus albacares</t>
        </is>
      </c>
      <c r="T5" s="8" t="inlineStr">
        <is>
          <t>FAO 77</t>
        </is>
      </c>
      <c r="U5" s="8" t="inlineStr">
        <is>
          <t>Corée FAO77</t>
        </is>
      </c>
      <c r="V5" s="8" t="inlineStr">
        <is>
          <t>SH 2518</t>
        </is>
      </c>
      <c r="W5" s="9" t="n">
        <v>46175</v>
      </c>
      <c r="X5" s="32" t="n">
        <v>70954</v>
      </c>
      <c r="Y5" s="9" t="n">
        <v>46182</v>
      </c>
      <c r="Z5" s="69" t="n">
        <v>230426</v>
      </c>
      <c r="AA5" s="42" t="n">
        <v>0.753012048192771</v>
      </c>
      <c r="AB5" s="15">
        <f>1-AA5</f>
        <v/>
      </c>
      <c r="AC5" t="inlineStr">
        <is>
          <t>conforme(s) au(x) critère(s)</t>
        </is>
      </c>
      <c r="AD5" s="7" t="inlineStr">
        <is>
          <t>Extra</t>
        </is>
      </c>
    </row>
    <row r="6">
      <c r="A6" s="28" t="n"/>
      <c r="B6" s="69" t="n"/>
      <c r="C6" s="29" t="n">
        <v>3</v>
      </c>
      <c r="D6" s="28" t="n">
        <v>46194</v>
      </c>
      <c r="E6" s="3" t="inlineStr">
        <is>
          <t>Thon frais naturel 3</t>
        </is>
      </c>
      <c r="F6" s="30" t="inlineStr">
        <is>
          <t>Comptoirs Océaniques</t>
        </is>
      </c>
      <c r="G6" s="30" t="inlineStr">
        <is>
          <t>7 rue Gustave Serruier, 76620 Le Havre</t>
        </is>
      </c>
      <c r="H6" s="30" t="inlineStr">
        <is>
          <t>Adeline Levasseur</t>
        </is>
      </c>
      <c r="I6" s="30" t="inlineStr">
        <is>
          <t>Directrice qualité</t>
        </is>
      </c>
      <c r="J6" s="30" t="inlineStr">
        <is>
          <t>Comptoir Océanique</t>
        </is>
      </c>
      <c r="K6" s="30" t="inlineStr">
        <is>
          <t>11/06/2026 12h</t>
        </is>
      </c>
      <c r="L6" s="30" t="inlineStr">
        <is>
          <t>Boulogne-sur-Mer</t>
        </is>
      </c>
      <c r="M6" s="30" t="inlineStr">
        <is>
          <t>glace</t>
        </is>
      </c>
      <c r="N6" s="30" t="inlineStr">
        <is>
          <t>11/06/2026 12h15</t>
        </is>
      </c>
      <c r="O6" s="30" t="inlineStr">
        <is>
          <t>4°C</t>
        </is>
      </c>
      <c r="P6" s="30" t="inlineStr">
        <is>
          <t>11/06/2026 14h</t>
        </is>
      </c>
      <c r="Q6" s="3" t="inlineStr">
        <is>
          <t>BPE</t>
        </is>
      </c>
      <c r="R6" s="14" t="inlineStr">
        <is>
          <t>1,77 kg</t>
        </is>
      </c>
      <c r="S6" s="69" t="inlineStr">
        <is>
          <t>Thunnus albacares</t>
        </is>
      </c>
      <c r="T6" s="3" t="inlineStr">
        <is>
          <t>FAO 34</t>
        </is>
      </c>
      <c r="U6" s="3" t="inlineStr">
        <is>
          <t>Cote d'ivoire FAO34</t>
        </is>
      </c>
      <c r="V6" s="3" t="inlineStr">
        <is>
          <t>ABP10A 153/ 26</t>
        </is>
      </c>
      <c r="W6" s="5" t="n">
        <v>46179</v>
      </c>
      <c r="X6" s="13" t="n"/>
      <c r="Y6" s="5" t="n">
        <v>46191</v>
      </c>
      <c r="Z6" s="69" t="n">
        <v>230426</v>
      </c>
      <c r="AA6" s="41" t="n">
        <v>0.5870010235414534</v>
      </c>
      <c r="AB6" s="15">
        <f>1-AA6</f>
        <v/>
      </c>
      <c r="AC6" t="inlineStr">
        <is>
          <t>conforme(s) au(x) critère(s)</t>
        </is>
      </c>
      <c r="AD6" s="7" t="inlineStr">
        <is>
          <t>A+</t>
        </is>
      </c>
    </row>
    <row r="7">
      <c r="A7" s="28" t="n"/>
      <c r="B7" s="69" t="n"/>
      <c r="C7" s="29" t="n">
        <v>13</v>
      </c>
      <c r="D7" s="28" t="n">
        <v>46194</v>
      </c>
      <c r="E7" s="8" t="inlineStr">
        <is>
          <t xml:space="preserve"> Thon décongelé 13</t>
        </is>
      </c>
      <c r="F7" s="30" t="inlineStr">
        <is>
          <t>Comptoirs Océaniques</t>
        </is>
      </c>
      <c r="G7" s="30" t="inlineStr">
        <is>
          <t>7 rue Gustave Serruier, 76620 Le Havre</t>
        </is>
      </c>
      <c r="H7" s="30" t="inlineStr">
        <is>
          <t>Adeline Levasseur</t>
        </is>
      </c>
      <c r="I7" s="30" t="inlineStr">
        <is>
          <t>Directrice qualité</t>
        </is>
      </c>
      <c r="J7" s="30" t="inlineStr">
        <is>
          <t>Comptoir Océanique</t>
        </is>
      </c>
      <c r="K7" s="30" t="inlineStr">
        <is>
          <t>11/06/2026 12h</t>
        </is>
      </c>
      <c r="L7" s="30" t="inlineStr">
        <is>
          <t>Boulogne-sur-Mer</t>
        </is>
      </c>
      <c r="M7" s="30" t="inlineStr">
        <is>
          <t>glace</t>
        </is>
      </c>
      <c r="N7" s="30" t="inlineStr">
        <is>
          <t>11/06/2026 12h15</t>
        </is>
      </c>
      <c r="O7" s="30" t="inlineStr">
        <is>
          <t>4°C</t>
        </is>
      </c>
      <c r="P7" s="30" t="inlineStr">
        <is>
          <t>11/06/2026 14h</t>
        </is>
      </c>
      <c r="Q7" s="8" t="inlineStr">
        <is>
          <t>dongwon</t>
        </is>
      </c>
      <c r="R7" s="31" t="n"/>
      <c r="S7" s="69" t="inlineStr">
        <is>
          <t>Thunnus albacares</t>
        </is>
      </c>
      <c r="T7" s="8" t="inlineStr">
        <is>
          <t>FAO 71</t>
        </is>
      </c>
      <c r="U7" s="8" t="inlineStr">
        <is>
          <t>Corée FAO71</t>
        </is>
      </c>
      <c r="V7" s="8" t="inlineStr">
        <is>
          <t>DW 2526</t>
        </is>
      </c>
      <c r="W7" s="10" t="n">
        <v>46182</v>
      </c>
      <c r="X7" s="32" t="n">
        <v>70946</v>
      </c>
      <c r="Y7" s="10" t="n">
        <v>46189</v>
      </c>
      <c r="Z7" s="69" t="n">
        <v>230426</v>
      </c>
      <c r="AA7" s="42" t="n">
        <v>0.847633905356214</v>
      </c>
      <c r="AB7" s="15">
        <f>1-AA7</f>
        <v/>
      </c>
      <c r="AC7" t="inlineStr">
        <is>
          <t>conforme(s) au(x) critère(s)</t>
        </is>
      </c>
      <c r="AD7" s="7" t="inlineStr">
        <is>
          <t>Extra</t>
        </is>
      </c>
    </row>
    <row r="8">
      <c r="A8" s="28" t="n"/>
      <c r="B8" s="69" t="n"/>
      <c r="C8" s="29" t="n">
        <v>4</v>
      </c>
      <c r="D8" s="28" t="n">
        <v>46194</v>
      </c>
      <c r="E8" s="3" t="inlineStr">
        <is>
          <t>Thon frais naturel 4</t>
        </is>
      </c>
      <c r="F8" s="30" t="inlineStr">
        <is>
          <t>Comptoirs Océaniques</t>
        </is>
      </c>
      <c r="G8" s="30" t="inlineStr">
        <is>
          <t>7 rue Gustave Serruier, 76620 Le Havre</t>
        </is>
      </c>
      <c r="H8" s="30" t="inlineStr">
        <is>
          <t>Adeline Levasseur</t>
        </is>
      </c>
      <c r="I8" s="30" t="inlineStr">
        <is>
          <t>Directrice qualité</t>
        </is>
      </c>
      <c r="J8" s="30" t="inlineStr">
        <is>
          <t>Comptoir Océanique</t>
        </is>
      </c>
      <c r="K8" s="30" t="inlineStr">
        <is>
          <t>12/06/2026 12H</t>
        </is>
      </c>
      <c r="L8" s="30" t="inlineStr">
        <is>
          <t>Boulogne-sur-Mer</t>
        </is>
      </c>
      <c r="M8" s="30" t="inlineStr">
        <is>
          <t>glace</t>
        </is>
      </c>
      <c r="N8" s="30" t="inlineStr">
        <is>
          <t>12/06/2026 12H15</t>
        </is>
      </c>
      <c r="O8" s="30" t="inlineStr">
        <is>
          <t>4°C</t>
        </is>
      </c>
      <c r="P8" s="30" t="inlineStr">
        <is>
          <t>12/06/2026 14h</t>
        </is>
      </c>
      <c r="Q8" s="3" t="inlineStr">
        <is>
          <t>BPE</t>
        </is>
      </c>
      <c r="R8" s="14" t="inlineStr">
        <is>
          <t>2,05 kg</t>
        </is>
      </c>
      <c r="S8" s="69" t="inlineStr">
        <is>
          <t>Thunnus albacares</t>
        </is>
      </c>
      <c r="T8" s="3" t="inlineStr">
        <is>
          <t>FAO 34</t>
        </is>
      </c>
      <c r="U8" s="3" t="inlineStr">
        <is>
          <t>Cote d'ivoire FAO34</t>
        </is>
      </c>
      <c r="V8" s="3" t="inlineStr">
        <is>
          <t>ABP10A 153/ 26</t>
        </is>
      </c>
      <c r="W8" s="5" t="n">
        <v>46179</v>
      </c>
      <c r="X8" s="13" t="n"/>
      <c r="Y8" s="5" t="n">
        <v>46191</v>
      </c>
      <c r="Z8" s="69" t="n">
        <v>230426</v>
      </c>
      <c r="AA8" s="41" t="n">
        <v>0.5605187319884726</v>
      </c>
      <c r="AB8" s="15">
        <f>1-AA8</f>
        <v/>
      </c>
      <c r="AC8" t="inlineStr">
        <is>
          <t>conforme(s) au(x) critère(s)</t>
        </is>
      </c>
      <c r="AD8" s="7" t="inlineStr">
        <is>
          <t>A+</t>
        </is>
      </c>
    </row>
    <row r="9">
      <c r="A9" s="28" t="n"/>
      <c r="B9" s="69" t="n"/>
      <c r="C9" s="29" t="n">
        <v>14</v>
      </c>
      <c r="D9" s="28" t="n">
        <v>46194</v>
      </c>
      <c r="E9" s="8" t="inlineStr">
        <is>
          <t xml:space="preserve"> Thon décongelé 14</t>
        </is>
      </c>
      <c r="F9" s="30" t="inlineStr">
        <is>
          <t>Comptoirs Océaniques</t>
        </is>
      </c>
      <c r="G9" s="30" t="inlineStr">
        <is>
          <t>7 rue Gustave Serruier, 76620 Le Havre</t>
        </is>
      </c>
      <c r="H9" s="30" t="inlineStr">
        <is>
          <t>Adeline Levasseur</t>
        </is>
      </c>
      <c r="I9" s="30" t="inlineStr">
        <is>
          <t>Directrice qualité</t>
        </is>
      </c>
      <c r="J9" s="30" t="inlineStr">
        <is>
          <t>Comptoir Océanique</t>
        </is>
      </c>
      <c r="K9" s="30" t="inlineStr">
        <is>
          <t>12/06/2026 12H</t>
        </is>
      </c>
      <c r="L9" s="30" t="inlineStr">
        <is>
          <t>Boulogne-sur-Mer</t>
        </is>
      </c>
      <c r="M9" s="30" t="inlineStr">
        <is>
          <t>glace</t>
        </is>
      </c>
      <c r="N9" s="30" t="inlineStr">
        <is>
          <t>12/06/2026 12H15</t>
        </is>
      </c>
      <c r="O9" s="30" t="inlineStr">
        <is>
          <t>4°C</t>
        </is>
      </c>
      <c r="P9" s="30" t="inlineStr">
        <is>
          <t>12/06/2026 14h</t>
        </is>
      </c>
      <c r="Q9" s="8" t="inlineStr">
        <is>
          <t>shin hyun</t>
        </is>
      </c>
      <c r="R9" s="31" t="n"/>
      <c r="S9" s="69" t="inlineStr">
        <is>
          <t>Thunnus albacares</t>
        </is>
      </c>
      <c r="T9" s="8" t="inlineStr">
        <is>
          <t>FAO 71</t>
        </is>
      </c>
      <c r="U9" s="8" t="inlineStr">
        <is>
          <t>Corée FAO71</t>
        </is>
      </c>
      <c r="V9" s="8" t="inlineStr">
        <is>
          <t>SH 2601</t>
        </is>
      </c>
      <c r="W9" s="10" t="n">
        <v>46183</v>
      </c>
      <c r="X9" s="32" t="n">
        <v>72152.41</v>
      </c>
      <c r="Y9" s="10" t="n">
        <v>46190</v>
      </c>
      <c r="Z9" s="69" t="n">
        <v>230426</v>
      </c>
      <c r="AA9" s="42" t="n">
        <v>0.7625418060200669</v>
      </c>
      <c r="AB9" s="15">
        <f>1-AA9</f>
        <v/>
      </c>
      <c r="AC9" t="inlineStr">
        <is>
          <t>conforme(s) au(x) critère(s)</t>
        </is>
      </c>
      <c r="AD9" s="7" t="inlineStr">
        <is>
          <t>Extra+</t>
        </is>
      </c>
    </row>
    <row r="10" customFormat="1" s="16">
      <c r="A10" s="28" t="n"/>
      <c r="B10" s="33" t="n"/>
      <c r="C10" s="34" t="n">
        <v>0</v>
      </c>
      <c r="D10" s="28" t="n">
        <v>46194</v>
      </c>
      <c r="E10" s="17" t="inlineStr">
        <is>
          <t>Longe de thon décongelé</t>
        </is>
      </c>
      <c r="F10" s="35" t="inlineStr">
        <is>
          <t>Comptoirs Océaniques</t>
        </is>
      </c>
      <c r="G10" s="35" t="inlineStr">
        <is>
          <t>7 rue Gustave Serruier, 76620 Le Havre</t>
        </is>
      </c>
      <c r="H10" s="35" t="inlineStr">
        <is>
          <t>Adeline Levasseur</t>
        </is>
      </c>
      <c r="I10" s="35" t="inlineStr">
        <is>
          <t>Directrice qualité</t>
        </is>
      </c>
      <c r="J10" s="35" t="inlineStr">
        <is>
          <t>Comptoir Océanique</t>
        </is>
      </c>
      <c r="K10" s="36" t="inlineStr">
        <is>
          <t>04/02/2026 12H</t>
        </is>
      </c>
      <c r="L10" s="35" t="inlineStr">
        <is>
          <t>Boulogne-sur-Mer</t>
        </is>
      </c>
      <c r="M10" s="35" t="inlineStr">
        <is>
          <t>glace</t>
        </is>
      </c>
      <c r="N10" s="36" t="inlineStr">
        <is>
          <t>04/02/2026 12H15</t>
        </is>
      </c>
      <c r="O10" s="30" t="inlineStr">
        <is>
          <t>4°C</t>
        </is>
      </c>
      <c r="P10" s="36" t="inlineStr">
        <is>
          <t>04/02/2026 14h</t>
        </is>
      </c>
      <c r="Q10" s="33" t="inlineStr">
        <is>
          <t>Golden Ocean</t>
        </is>
      </c>
      <c r="R10" s="14" t="n"/>
      <c r="S10" s="69" t="inlineStr">
        <is>
          <t>Thunnus albacares</t>
        </is>
      </c>
      <c r="T10" s="3" t="n"/>
      <c r="U10" s="33" t="inlineStr">
        <is>
          <t>FAO 71</t>
        </is>
      </c>
      <c r="V10" s="3" t="n"/>
      <c r="W10" s="17" t="n"/>
      <c r="X10" s="33" t="inlineStr">
        <is>
          <t xml:space="preserve">MP  FAB 16200 </t>
        </is>
      </c>
      <c r="Y10" s="3" t="n"/>
      <c r="Z10" s="69" t="n">
        <v>230426</v>
      </c>
      <c r="AA10" s="41" t="n">
        <v>0.9169712793733681</v>
      </c>
      <c r="AB10" s="18">
        <f>1-AA10</f>
        <v/>
      </c>
      <c r="AC10" s="16" t="inlineStr">
        <is>
          <t>conforme(s) au(x) critère(s)</t>
        </is>
      </c>
      <c r="AD10" s="7" t="inlineStr">
        <is>
          <t>Sashimi</t>
        </is>
      </c>
    </row>
    <row r="11">
      <c r="A11" s="28" t="n"/>
      <c r="B11" s="69" t="n"/>
      <c r="C11" s="29" t="n">
        <v>21</v>
      </c>
      <c r="D11" s="28" t="n">
        <v>46201</v>
      </c>
      <c r="E11" s="3" t="inlineStr">
        <is>
          <t>Thon frais saumuré 21</t>
        </is>
      </c>
      <c r="F11" s="30" t="inlineStr">
        <is>
          <t>Comptoirs Océaniques</t>
        </is>
      </c>
      <c r="G11" s="30" t="inlineStr">
        <is>
          <t>7 rue Gustave Serruier, 76620 Le Havre</t>
        </is>
      </c>
      <c r="H11" s="30" t="inlineStr">
        <is>
          <t>Adeline Levasseur</t>
        </is>
      </c>
      <c r="I11" s="30" t="inlineStr">
        <is>
          <t>Directrice qualité</t>
        </is>
      </c>
      <c r="J11" s="30" t="inlineStr">
        <is>
          <t>Comptoir Océanique</t>
        </is>
      </c>
      <c r="K11" s="30" t="inlineStr">
        <is>
          <t>17/06/2026 14h</t>
        </is>
      </c>
      <c r="L11" s="30" t="inlineStr">
        <is>
          <t>Boulogne-sur-Mer</t>
        </is>
      </c>
      <c r="M11" s="30" t="inlineStr">
        <is>
          <t>glace</t>
        </is>
      </c>
      <c r="N11" s="30" t="inlineStr">
        <is>
          <t>17/06/2026 14h15</t>
        </is>
      </c>
      <c r="O11" s="30" t="inlineStr">
        <is>
          <t>4°C</t>
        </is>
      </c>
      <c r="P11" s="30" t="inlineStr">
        <is>
          <t>17/06/2026 16h</t>
        </is>
      </c>
      <c r="Q11" s="3" t="inlineStr">
        <is>
          <t>barba</t>
        </is>
      </c>
      <c r="R11" s="14" t="n"/>
      <c r="S11" s="69" t="inlineStr">
        <is>
          <t>Thunnus albacares</t>
        </is>
      </c>
      <c r="T11" s="3" t="inlineStr">
        <is>
          <t>FAO34</t>
        </is>
      </c>
      <c r="U11" s="3" t="inlineStr">
        <is>
          <t>transformé en France</t>
        </is>
      </c>
      <c r="V11" s="3" t="n"/>
      <c r="W11" s="3" t="n"/>
      <c r="X11" s="3" t="n"/>
      <c r="Y11" s="3" t="n"/>
      <c r="Z11" s="33" t="n">
        <v>100626</v>
      </c>
      <c r="AA11" s="43" t="n">
        <v>0.6651352730985197</v>
      </c>
      <c r="AB11" s="15">
        <f>1-AA11</f>
        <v/>
      </c>
      <c r="AC11" t="inlineStr">
        <is>
          <t>conforme(s) au(x) critère(s)</t>
        </is>
      </c>
      <c r="AD11" s="19" t="inlineStr">
        <is>
          <t>Extra</t>
        </is>
      </c>
    </row>
    <row r="12">
      <c r="A12" s="28" t="n"/>
      <c r="B12" s="69" t="n"/>
      <c r="C12" s="29" t="n">
        <v>22</v>
      </c>
      <c r="D12" s="28" t="n">
        <v>46201</v>
      </c>
      <c r="E12" s="3" t="inlineStr">
        <is>
          <t>Thon frais saumuré 22</t>
        </is>
      </c>
      <c r="F12" s="30" t="inlineStr">
        <is>
          <t>Comptoirs Océaniques</t>
        </is>
      </c>
      <c r="G12" s="30" t="inlineStr">
        <is>
          <t>7 rue Gustave Serruier, 76620 Le Havre</t>
        </is>
      </c>
      <c r="H12" s="30" t="inlineStr">
        <is>
          <t>Adeline Levasseur</t>
        </is>
      </c>
      <c r="I12" s="30" t="inlineStr">
        <is>
          <t>Directrice qualité</t>
        </is>
      </c>
      <c r="J12" s="30" t="inlineStr">
        <is>
          <t>Comptoir Océanique</t>
        </is>
      </c>
      <c r="K12" s="30" t="inlineStr">
        <is>
          <t>17/06/2026 14h</t>
        </is>
      </c>
      <c r="L12" s="30" t="inlineStr">
        <is>
          <t>Boulogne-sur-Mer</t>
        </is>
      </c>
      <c r="M12" s="30" t="inlineStr">
        <is>
          <t>glace</t>
        </is>
      </c>
      <c r="N12" s="30" t="inlineStr">
        <is>
          <t>17/06/2026 14h15</t>
        </is>
      </c>
      <c r="O12" s="30" t="inlineStr">
        <is>
          <t>4°C</t>
        </is>
      </c>
      <c r="P12" s="30" t="inlineStr">
        <is>
          <t>17/06/2026 16h</t>
        </is>
      </c>
      <c r="Q12" s="3" t="inlineStr">
        <is>
          <t>barba</t>
        </is>
      </c>
      <c r="R12" s="37" t="n"/>
      <c r="S12" s="69" t="inlineStr">
        <is>
          <t>Thunnus albacares</t>
        </is>
      </c>
      <c r="T12" s="3" t="n"/>
      <c r="U12" s="3" t="inlineStr">
        <is>
          <t>transformé en France</t>
        </is>
      </c>
      <c r="V12" s="12" t="n"/>
      <c r="W12" s="12" t="n"/>
      <c r="X12" s="3" t="n"/>
      <c r="Y12" s="12" t="n"/>
      <c r="Z12" s="69" t="n">
        <v>100626</v>
      </c>
      <c r="AA12" s="44" t="n">
        <v>0.5614489003880982</v>
      </c>
      <c r="AB12" s="15">
        <f>1-AA12</f>
        <v/>
      </c>
      <c r="AC12" t="inlineStr">
        <is>
          <t>conforme(s) au(x) critère(s)</t>
        </is>
      </c>
      <c r="AD12" s="11" t="inlineStr">
        <is>
          <t>A+</t>
        </is>
      </c>
    </row>
    <row r="13">
      <c r="A13" s="28" t="n"/>
      <c r="B13" s="69" t="n"/>
      <c r="C13" s="29" t="n">
        <v>15</v>
      </c>
      <c r="D13" s="28" t="n">
        <v>46201</v>
      </c>
      <c r="E13" s="3" t="inlineStr">
        <is>
          <t>Thon  décongelé 15</t>
        </is>
      </c>
      <c r="F13" s="30" t="inlineStr">
        <is>
          <t>Comptoirs Océaniques</t>
        </is>
      </c>
      <c r="G13" s="30" t="inlineStr">
        <is>
          <t>7 rue Gustave Serruier, 76620 Le Havre</t>
        </is>
      </c>
      <c r="H13" s="30" t="inlineStr">
        <is>
          <t>Adeline Levasseur</t>
        </is>
      </c>
      <c r="I13" s="30" t="inlineStr">
        <is>
          <t>Directrice qualité</t>
        </is>
      </c>
      <c r="J13" s="30" t="inlineStr">
        <is>
          <t>Comptoir Océanique</t>
        </is>
      </c>
      <c r="K13" s="30" t="inlineStr">
        <is>
          <t>17/06/2026 14h</t>
        </is>
      </c>
      <c r="L13" s="30" t="inlineStr">
        <is>
          <t>Boulogne-sur-Mer</t>
        </is>
      </c>
      <c r="M13" s="30" t="inlineStr">
        <is>
          <t>glace</t>
        </is>
      </c>
      <c r="N13" s="30" t="inlineStr">
        <is>
          <t>17/06/2026 14h15</t>
        </is>
      </c>
      <c r="O13" s="30" t="inlineStr">
        <is>
          <t>4°C</t>
        </is>
      </c>
      <c r="P13" s="30" t="inlineStr">
        <is>
          <t>17/06/2026 16h</t>
        </is>
      </c>
      <c r="Q13" s="3" t="inlineStr">
        <is>
          <t>dongwon</t>
        </is>
      </c>
      <c r="R13" s="38" t="n"/>
      <c r="S13" s="69" t="inlineStr">
        <is>
          <t>Thunnus albacares</t>
        </is>
      </c>
      <c r="T13" s="3" t="inlineStr">
        <is>
          <t>FAO 51</t>
        </is>
      </c>
      <c r="U13" s="3" t="inlineStr">
        <is>
          <t>Corée FAO51</t>
        </is>
      </c>
      <c r="V13" s="3" t="inlineStr">
        <is>
          <t>DW 2522</t>
        </is>
      </c>
      <c r="W13" s="4" t="n">
        <v>46188</v>
      </c>
      <c r="X13" s="2" t="n">
        <v>72751</v>
      </c>
      <c r="Y13" s="4" t="n">
        <v>46195</v>
      </c>
      <c r="Z13" s="69" t="n">
        <v>100626</v>
      </c>
      <c r="AA13" s="45" t="n">
        <v>0.8328189300411523</v>
      </c>
      <c r="AB13" s="15">
        <f>1-AA13</f>
        <v/>
      </c>
      <c r="AC13" t="inlineStr">
        <is>
          <t>conforme(s) au(x) critère(s)</t>
        </is>
      </c>
      <c r="AD13" s="12" t="inlineStr">
        <is>
          <t>Extra</t>
        </is>
      </c>
    </row>
    <row r="14">
      <c r="A14" s="28" t="n"/>
      <c r="B14" s="69" t="n"/>
      <c r="C14" s="29" t="n">
        <v>16</v>
      </c>
      <c r="D14" s="28" t="n">
        <v>46201</v>
      </c>
      <c r="E14" s="3" t="inlineStr">
        <is>
          <t xml:space="preserve"> Thon décongelé 16</t>
        </is>
      </c>
      <c r="F14" s="30" t="inlineStr">
        <is>
          <t>Comptoirs Océaniques</t>
        </is>
      </c>
      <c r="G14" s="30" t="inlineStr">
        <is>
          <t>7 rue Gustave Serruier, 76620 Le Havre</t>
        </is>
      </c>
      <c r="H14" s="30" t="inlineStr">
        <is>
          <t>Adeline Levasseur</t>
        </is>
      </c>
      <c r="I14" s="30" t="inlineStr">
        <is>
          <t>Directrice qualité</t>
        </is>
      </c>
      <c r="J14" s="30" t="inlineStr">
        <is>
          <t>Comptoir Océanique</t>
        </is>
      </c>
      <c r="K14" s="30" t="inlineStr">
        <is>
          <t>18/06/2026 12H</t>
        </is>
      </c>
      <c r="L14" s="30" t="inlineStr">
        <is>
          <t>Boulogne-sur-Mer</t>
        </is>
      </c>
      <c r="M14" s="30" t="inlineStr">
        <is>
          <t>glace</t>
        </is>
      </c>
      <c r="N14" s="30" t="inlineStr">
        <is>
          <t>18/06/2026 12H15</t>
        </is>
      </c>
      <c r="O14" s="30" t="inlineStr">
        <is>
          <t>4°C</t>
        </is>
      </c>
      <c r="P14" s="30" t="inlineStr">
        <is>
          <t>18/06/2026 14h</t>
        </is>
      </c>
      <c r="Q14" s="3" t="inlineStr">
        <is>
          <t>dongwon</t>
        </is>
      </c>
      <c r="R14" s="38" t="n"/>
      <c r="S14" s="69" t="inlineStr">
        <is>
          <t>Thunnus albacares</t>
        </is>
      </c>
      <c r="T14" s="3" t="inlineStr">
        <is>
          <t>FAO 51</t>
        </is>
      </c>
      <c r="U14" s="3" t="inlineStr">
        <is>
          <t>Corée FAO51</t>
        </is>
      </c>
      <c r="V14" s="3" t="inlineStr">
        <is>
          <t>DW 2522</t>
        </is>
      </c>
      <c r="W14" s="4" t="n">
        <v>46188</v>
      </c>
      <c r="X14" s="2" t="n">
        <v>72751</v>
      </c>
      <c r="Y14" s="4" t="n">
        <v>46195</v>
      </c>
      <c r="Z14" s="69" t="n">
        <v>100626</v>
      </c>
      <c r="AA14" s="45" t="n">
        <v>0.8168498168498168</v>
      </c>
      <c r="AB14" s="15">
        <f>1-AA14</f>
        <v/>
      </c>
      <c r="AC14" t="inlineStr">
        <is>
          <t>conforme(s) au(x) critère(s)</t>
        </is>
      </c>
      <c r="AD14" s="12" t="inlineStr">
        <is>
          <t>Extra</t>
        </is>
      </c>
    </row>
    <row r="15">
      <c r="A15" s="28" t="inlineStr">
        <is>
          <t>NOVOCIB Rapport d'essai 260628-5</t>
        </is>
      </c>
      <c r="B15" s="69" t="inlineStr">
        <is>
          <t>260628-5</t>
        </is>
      </c>
      <c r="C15" s="29" t="n">
        <v>5</v>
      </c>
      <c r="D15" s="28" t="n">
        <v>46201</v>
      </c>
      <c r="E15" s="3" t="inlineStr">
        <is>
          <t>Thon frais naturel 5</t>
        </is>
      </c>
      <c r="F15" s="30" t="inlineStr">
        <is>
          <t>Comptoirs Océaniques</t>
        </is>
      </c>
      <c r="G15" s="30" t="inlineStr">
        <is>
          <t>7 rue Gustave Serruier, 76620 Le Havre</t>
        </is>
      </c>
      <c r="H15" s="30" t="inlineStr">
        <is>
          <t>Adeline Levasseur</t>
        </is>
      </c>
      <c r="I15" s="30" t="inlineStr">
        <is>
          <t>Directrice qualité</t>
        </is>
      </c>
      <c r="J15" s="30" t="inlineStr">
        <is>
          <t>Comptoir Océanique</t>
        </is>
      </c>
      <c r="K15" s="30" t="inlineStr">
        <is>
          <t>25/06/26 16H</t>
        </is>
      </c>
      <c r="L15" s="30" t="inlineStr">
        <is>
          <t>Boulogne-sur-Mer</t>
        </is>
      </c>
      <c r="M15" s="30" t="inlineStr">
        <is>
          <t>glace</t>
        </is>
      </c>
      <c r="N15" s="30" t="inlineStr">
        <is>
          <t>25/06/26 16H15</t>
        </is>
      </c>
      <c r="O15" s="30" t="inlineStr">
        <is>
          <t>4°C</t>
        </is>
      </c>
      <c r="P15" s="30" t="inlineStr">
        <is>
          <t>25/06/26 17h</t>
        </is>
      </c>
      <c r="Q15" s="3" t="inlineStr">
        <is>
          <t>Global sea food</t>
        </is>
      </c>
      <c r="R15" s="14" t="inlineStr">
        <is>
          <t>1,18kg</t>
        </is>
      </c>
      <c r="S15" s="69" t="inlineStr">
        <is>
          <t>Thunnus albacares</t>
        </is>
      </c>
      <c r="T15" s="3" t="inlineStr">
        <is>
          <t>FAO 57</t>
        </is>
      </c>
      <c r="U15" s="3" t="inlineStr">
        <is>
          <t>Sri Lanka FAO57</t>
        </is>
      </c>
      <c r="V15" s="14" t="n">
        <v>20062026</v>
      </c>
      <c r="W15" s="5" t="n">
        <v>46193</v>
      </c>
      <c r="X15" s="13" t="n"/>
      <c r="Y15" s="5" t="n">
        <v>46204</v>
      </c>
      <c r="Z15" s="69" t="n">
        <v>100626</v>
      </c>
      <c r="AA15" s="41" t="n">
        <v>0.4529995276334436</v>
      </c>
      <c r="AB15" s="15">
        <f>1-AA15</f>
        <v/>
      </c>
      <c r="AC15" t="inlineStr">
        <is>
          <t>conforme(s) au(x) critère(s)</t>
        </is>
      </c>
      <c r="AD15" s="7" t="inlineStr">
        <is>
          <t>A</t>
        </is>
      </c>
    </row>
    <row r="16">
      <c r="A16" s="28" t="n"/>
      <c r="B16" s="69" t="n"/>
      <c r="C16" s="29" t="n">
        <v>7</v>
      </c>
      <c r="D16" s="28" t="n">
        <v>46201</v>
      </c>
      <c r="E16" s="3" t="inlineStr">
        <is>
          <t>frais naturel 7</t>
        </is>
      </c>
      <c r="F16" s="30" t="inlineStr">
        <is>
          <t>Comptoirs Océaniques</t>
        </is>
      </c>
      <c r="G16" s="30" t="inlineStr">
        <is>
          <t>7 rue Gustave Serruier, 76620 Le Havre</t>
        </is>
      </c>
      <c r="H16" s="30" t="inlineStr">
        <is>
          <t>Adeline Levasseur</t>
        </is>
      </c>
      <c r="I16" s="30" t="inlineStr">
        <is>
          <t>Directrice qualité</t>
        </is>
      </c>
      <c r="J16" s="30" t="inlineStr">
        <is>
          <t>Comptoir Océanique</t>
        </is>
      </c>
      <c r="K16" s="30" t="inlineStr">
        <is>
          <t>25/06/26 16H</t>
        </is>
      </c>
      <c r="L16" s="30" t="inlineStr">
        <is>
          <t>Boulogne-sur-Mer</t>
        </is>
      </c>
      <c r="M16" s="30" t="inlineStr">
        <is>
          <t>glace</t>
        </is>
      </c>
      <c r="N16" s="30" t="inlineStr">
        <is>
          <t>25/06/26 16H15</t>
        </is>
      </c>
      <c r="O16" s="30" t="inlineStr">
        <is>
          <t>4°C</t>
        </is>
      </c>
      <c r="P16" s="30" t="inlineStr">
        <is>
          <t>25/06/26 17h</t>
        </is>
      </c>
      <c r="Q16" s="3" t="inlineStr">
        <is>
          <t>Marlu</t>
        </is>
      </c>
      <c r="R16" s="14" t="inlineStr">
        <is>
          <t>2,29kg</t>
        </is>
      </c>
      <c r="S16" s="69" t="inlineStr">
        <is>
          <t>Thunnus albacares</t>
        </is>
      </c>
      <c r="T16" s="3" t="inlineStr">
        <is>
          <t>FAO 51</t>
        </is>
      </c>
      <c r="U16" s="3" t="inlineStr">
        <is>
          <t>Seychelles FAO51</t>
        </is>
      </c>
      <c r="V16" s="3" t="inlineStr">
        <is>
          <t>R369</t>
        </is>
      </c>
      <c r="W16" s="5" t="n">
        <v>46193</v>
      </c>
      <c r="X16" s="13" t="n"/>
      <c r="Y16" s="5" t="n">
        <v>46206</v>
      </c>
      <c r="Z16" s="69" t="n">
        <v>100626</v>
      </c>
      <c r="AA16" s="41" t="n">
        <v>0.6652215799614645</v>
      </c>
      <c r="AB16" s="15">
        <f>1-AA16</f>
        <v/>
      </c>
      <c r="AC16" t="inlineStr">
        <is>
          <t>conforme(s) au(x) critère(s)</t>
        </is>
      </c>
      <c r="AD16" s="7" t="inlineStr">
        <is>
          <t>Extra</t>
        </is>
      </c>
    </row>
    <row r="17">
      <c r="A17" s="28" t="n"/>
      <c r="B17" s="69" t="n"/>
      <c r="C17" s="29" t="n">
        <v>17</v>
      </c>
      <c r="D17" s="28" t="n">
        <v>46201</v>
      </c>
      <c r="E17" s="3" t="inlineStr">
        <is>
          <t>Thon décongelé 17</t>
        </is>
      </c>
      <c r="F17" s="30" t="inlineStr">
        <is>
          <t>Comptoirs Océaniques</t>
        </is>
      </c>
      <c r="G17" s="30" t="inlineStr">
        <is>
          <t>7 rue Gustave Serruier, 76620 Le Havre</t>
        </is>
      </c>
      <c r="H17" s="30" t="inlineStr">
        <is>
          <t>Adeline Levasseur</t>
        </is>
      </c>
      <c r="I17" s="30" t="inlineStr">
        <is>
          <t>Directrice qualité</t>
        </is>
      </c>
      <c r="J17" s="30" t="inlineStr">
        <is>
          <t>Comptoir Océanique</t>
        </is>
      </c>
      <c r="K17" s="30" t="inlineStr">
        <is>
          <t>25/06/26 16H</t>
        </is>
      </c>
      <c r="L17" s="30" t="inlineStr">
        <is>
          <t>Boulogne-sur-Mer</t>
        </is>
      </c>
      <c r="M17" s="30" t="inlineStr">
        <is>
          <t>glace</t>
        </is>
      </c>
      <c r="N17" s="30" t="inlineStr">
        <is>
          <t>25/06/26 16H15</t>
        </is>
      </c>
      <c r="O17" s="30" t="inlineStr">
        <is>
          <t>4°C</t>
        </is>
      </c>
      <c r="P17" s="30" t="inlineStr">
        <is>
          <t>25/06/26 17h</t>
        </is>
      </c>
      <c r="Q17" s="3" t="inlineStr">
        <is>
          <t xml:space="preserve">golden ocean </t>
        </is>
      </c>
      <c r="R17" s="38" t="n"/>
      <c r="S17" s="69" t="inlineStr">
        <is>
          <t>Thunnus albacares</t>
        </is>
      </c>
      <c r="T17" s="3" t="inlineStr">
        <is>
          <t>FAO 71</t>
        </is>
      </c>
      <c r="U17" s="3" t="inlineStr">
        <is>
          <t>Fidji FAO71</t>
        </is>
      </c>
      <c r="V17" s="3" t="inlineStr">
        <is>
          <t>EU 285 FAB 16203</t>
        </is>
      </c>
      <c r="W17" s="4" t="n">
        <v>46195</v>
      </c>
      <c r="X17" s="2" t="n">
        <v>70943</v>
      </c>
      <c r="Y17" s="4" t="n">
        <v>46202</v>
      </c>
      <c r="Z17" s="69" t="n">
        <v>100626</v>
      </c>
      <c r="AA17" s="41" t="n">
        <v>0.7181528662420382</v>
      </c>
      <c r="AB17" s="15">
        <f>1-AA17</f>
        <v/>
      </c>
      <c r="AC17" t="inlineStr">
        <is>
          <t>conforme(s) au(x) critère(s)</t>
        </is>
      </c>
      <c r="AD17" s="7" t="inlineStr">
        <is>
          <t>Extra</t>
        </is>
      </c>
    </row>
    <row r="18">
      <c r="A18" s="28" t="n"/>
      <c r="B18" s="69" t="n"/>
      <c r="C18" s="29" t="n">
        <v>6</v>
      </c>
      <c r="D18" s="28" t="n">
        <v>46201</v>
      </c>
      <c r="E18" s="3" t="inlineStr">
        <is>
          <t>Thon frais naturel 6</t>
        </is>
      </c>
      <c r="F18" s="30" t="inlineStr">
        <is>
          <t>Comptoirs Océaniques</t>
        </is>
      </c>
      <c r="G18" s="30" t="inlineStr">
        <is>
          <t>7 rue Gustave Serruier, 76620 Le Havre</t>
        </is>
      </c>
      <c r="H18" s="30" t="inlineStr">
        <is>
          <t>Adeline Levasseur</t>
        </is>
      </c>
      <c r="I18" s="30" t="inlineStr">
        <is>
          <t>Directrice qualité</t>
        </is>
      </c>
      <c r="J18" s="30" t="inlineStr">
        <is>
          <t>Comptoir Océanique</t>
        </is>
      </c>
      <c r="K18" s="30" t="inlineStr">
        <is>
          <t>26/06/26 14H</t>
        </is>
      </c>
      <c r="L18" s="30" t="inlineStr">
        <is>
          <t>Boulogne-sur-Mer</t>
        </is>
      </c>
      <c r="M18" s="30" t="inlineStr">
        <is>
          <t>glace</t>
        </is>
      </c>
      <c r="N18" s="30" t="inlineStr">
        <is>
          <t>26/06/26 14H15</t>
        </is>
      </c>
      <c r="O18" s="30" t="inlineStr">
        <is>
          <t>4°C</t>
        </is>
      </c>
      <c r="P18" s="30" t="inlineStr">
        <is>
          <t>26/06/26 15h</t>
        </is>
      </c>
      <c r="Q18" s="3" t="inlineStr">
        <is>
          <t>Global sea food</t>
        </is>
      </c>
      <c r="R18" s="38" t="inlineStr">
        <is>
          <t>1,19kg</t>
        </is>
      </c>
      <c r="S18" s="69" t="inlineStr">
        <is>
          <t>Thunnus albacares</t>
        </is>
      </c>
      <c r="T18" s="3" t="inlineStr">
        <is>
          <t>FAO 57</t>
        </is>
      </c>
      <c r="U18" s="3" t="inlineStr">
        <is>
          <t>Sri Lanka FAO57</t>
        </is>
      </c>
      <c r="V18" s="3" t="n">
        <v>20062026</v>
      </c>
      <c r="W18" s="4" t="n">
        <v>46193</v>
      </c>
      <c r="X18" s="2" t="n"/>
      <c r="Y18" s="4" t="n">
        <v>46204</v>
      </c>
      <c r="Z18" s="69" t="n">
        <v>2606026</v>
      </c>
      <c r="AA18" s="44" t="n">
        <v>0.5032608695652175</v>
      </c>
      <c r="AB18" s="15">
        <f>1-AA18</f>
        <v/>
      </c>
      <c r="AC18" t="inlineStr">
        <is>
          <t>conforme(s) au(x) critère(s)</t>
        </is>
      </c>
      <c r="AD18" s="12" t="inlineStr">
        <is>
          <t>A</t>
        </is>
      </c>
    </row>
    <row r="19">
      <c r="A19" s="28" t="n"/>
      <c r="B19" s="69" t="n"/>
      <c r="C19" s="29" t="n">
        <v>8</v>
      </c>
      <c r="D19" s="28" t="n">
        <v>46201</v>
      </c>
      <c r="E19" s="3" t="inlineStr">
        <is>
          <t>Thon frais naturel 8</t>
        </is>
      </c>
      <c r="F19" s="30" t="inlineStr">
        <is>
          <t>Comptoirs Océaniques</t>
        </is>
      </c>
      <c r="G19" s="30" t="inlineStr">
        <is>
          <t>7 rue Gustave Serruier, 76620 Le Havre</t>
        </is>
      </c>
      <c r="H19" s="30" t="inlineStr">
        <is>
          <t>Adeline Levasseur</t>
        </is>
      </c>
      <c r="I19" s="30" t="inlineStr">
        <is>
          <t>Directrice qualité</t>
        </is>
      </c>
      <c r="J19" s="30" t="inlineStr">
        <is>
          <t>Comptoir Océanique</t>
        </is>
      </c>
      <c r="K19" s="30" t="inlineStr">
        <is>
          <t>26/06/26 14H</t>
        </is>
      </c>
      <c r="L19" s="30" t="inlineStr">
        <is>
          <t>Boulogne-sur-Mer</t>
        </is>
      </c>
      <c r="M19" s="30" t="inlineStr">
        <is>
          <t>glace</t>
        </is>
      </c>
      <c r="N19" s="30" t="inlineStr">
        <is>
          <t>26/06/26 14H15</t>
        </is>
      </c>
      <c r="O19" s="30" t="inlineStr">
        <is>
          <t>4°C</t>
        </is>
      </c>
      <c r="P19" s="30" t="inlineStr">
        <is>
          <t>26/06/26 15h</t>
        </is>
      </c>
      <c r="Q19" s="3" t="inlineStr">
        <is>
          <t>Marlu</t>
        </is>
      </c>
      <c r="R19" s="38" t="inlineStr">
        <is>
          <t>2,58kg</t>
        </is>
      </c>
      <c r="S19" s="69" t="inlineStr">
        <is>
          <t>Thunnus albacares</t>
        </is>
      </c>
      <c r="T19" s="3" t="inlineStr">
        <is>
          <t>FAO 51</t>
        </is>
      </c>
      <c r="U19" s="3" t="inlineStr">
        <is>
          <t>Seychelles FAO51</t>
        </is>
      </c>
      <c r="V19" s="3" t="inlineStr">
        <is>
          <t>R369</t>
        </is>
      </c>
      <c r="W19" s="4" t="n">
        <v>46193</v>
      </c>
      <c r="X19" s="2" t="n"/>
      <c r="Y19" s="4" t="n">
        <v>46206</v>
      </c>
      <c r="Z19" s="69" t="n">
        <v>2606026</v>
      </c>
      <c r="AA19" s="44" t="n">
        <v>0.4643192488262909</v>
      </c>
      <c r="AB19" s="15">
        <f>1-AA19</f>
        <v/>
      </c>
      <c r="AC19" t="inlineStr">
        <is>
          <t>conforme(s) au(x) critère(s)</t>
        </is>
      </c>
      <c r="AD19" s="12" t="inlineStr">
        <is>
          <t>A</t>
        </is>
      </c>
    </row>
    <row r="20">
      <c r="A20" s="69" t="n"/>
      <c r="B20" s="69" t="n"/>
      <c r="C20" s="29" t="n">
        <v>18</v>
      </c>
      <c r="D20" s="28" t="n">
        <v>46201</v>
      </c>
      <c r="E20" s="3" t="inlineStr">
        <is>
          <t>Thon décongelé 18</t>
        </is>
      </c>
      <c r="F20" s="30" t="inlineStr">
        <is>
          <t>Comptoirs Océaniques</t>
        </is>
      </c>
      <c r="G20" s="30" t="inlineStr">
        <is>
          <t>7 rue Gustave Serruier, 76620 Le Havre</t>
        </is>
      </c>
      <c r="H20" s="30" t="inlineStr">
        <is>
          <t>Adeline Levasseur</t>
        </is>
      </c>
      <c r="I20" s="30" t="inlineStr">
        <is>
          <t>Directrice qualité</t>
        </is>
      </c>
      <c r="J20" s="30" t="inlineStr">
        <is>
          <t>Comptoir Océanique</t>
        </is>
      </c>
      <c r="K20" s="30" t="inlineStr">
        <is>
          <t>26/06/26 14H</t>
        </is>
      </c>
      <c r="L20" s="30" t="inlineStr">
        <is>
          <t>Boulogne-sur-Mer</t>
        </is>
      </c>
      <c r="M20" s="30" t="inlineStr">
        <is>
          <t>glace</t>
        </is>
      </c>
      <c r="N20" s="30" t="inlineStr">
        <is>
          <t>26/06/26 14H15</t>
        </is>
      </c>
      <c r="O20" s="30" t="inlineStr">
        <is>
          <t>4°C</t>
        </is>
      </c>
      <c r="P20" s="30" t="inlineStr">
        <is>
          <t>26/06/26 15h</t>
        </is>
      </c>
      <c r="Q20" s="3" t="inlineStr">
        <is>
          <t xml:space="preserve">golden ocean </t>
        </is>
      </c>
      <c r="R20" s="38" t="n"/>
      <c r="S20" s="69" t="inlineStr">
        <is>
          <t>Thunnus albacares</t>
        </is>
      </c>
      <c r="T20" s="3" t="inlineStr">
        <is>
          <t>FAO 71</t>
        </is>
      </c>
      <c r="U20" s="3" t="inlineStr">
        <is>
          <t>Fidji FAO71</t>
        </is>
      </c>
      <c r="V20" s="3" t="inlineStr">
        <is>
          <t>EU 285 FAB 16203</t>
        </is>
      </c>
      <c r="W20" s="4" t="n">
        <v>46195</v>
      </c>
      <c r="X20" s="2" t="n">
        <v>70943</v>
      </c>
      <c r="Y20" s="4" t="n">
        <v>46202</v>
      </c>
      <c r="Z20" s="69" t="n">
        <v>2606026</v>
      </c>
      <c r="AA20" s="44" t="n">
        <v>0.7288971041281578</v>
      </c>
      <c r="AB20" s="15">
        <f>1-AA20</f>
        <v/>
      </c>
      <c r="AC20" t="inlineStr">
        <is>
          <t>conforme(s) au(x) critère(s)</t>
        </is>
      </c>
      <c r="AD20" s="12" t="inlineStr">
        <is>
          <t>Extra</t>
        </is>
      </c>
      <c r="AE20" s="63" t="n"/>
    </row>
    <row r="21">
      <c r="A21" s="69" t="inlineStr">
        <is>
          <t>NOVOCIB Rapport d'essai 260703-9</t>
        </is>
      </c>
      <c r="B21" s="69" t="inlineStr">
        <is>
          <t>260703-9</t>
        </is>
      </c>
      <c r="C21" s="23" t="n">
        <v>9</v>
      </c>
      <c r="D21" s="28" t="n">
        <v>46206</v>
      </c>
      <c r="E21" s="24" t="inlineStr">
        <is>
          <t>Thon frais naturel 9</t>
        </is>
      </c>
      <c r="F21" s="30" t="inlineStr">
        <is>
          <t>Comptoirs Océaniques</t>
        </is>
      </c>
      <c r="G21" s="30" t="inlineStr">
        <is>
          <t>7 rue Gustave Serruier, 76620 Le Havre</t>
        </is>
      </c>
      <c r="H21" s="30" t="inlineStr">
        <is>
          <t>Adeline Levasseur</t>
        </is>
      </c>
      <c r="I21" s="30" t="inlineStr">
        <is>
          <t>Directrice qualité</t>
        </is>
      </c>
      <c r="J21" s="30" t="inlineStr">
        <is>
          <t>Comptoir Océanique</t>
        </is>
      </c>
      <c r="K21" s="28" t="inlineStr">
        <is>
          <t>02/07/26 13h</t>
        </is>
      </c>
      <c r="L21" s="30" t="inlineStr">
        <is>
          <t>Boulogne-sur-Mer</t>
        </is>
      </c>
      <c r="M21" s="30" t="inlineStr">
        <is>
          <t>glace</t>
        </is>
      </c>
      <c r="N21" s="28" t="inlineStr">
        <is>
          <t>02/07/26 13h15</t>
        </is>
      </c>
      <c r="O21" s="30" t="inlineStr">
        <is>
          <t>4°C</t>
        </is>
      </c>
      <c r="P21" s="28" t="inlineStr">
        <is>
          <t>02/07/26 16h</t>
        </is>
      </c>
      <c r="Q21" s="24" t="inlineStr">
        <is>
          <t>Lihini seafoods</t>
        </is>
      </c>
      <c r="R21" s="25" t="inlineStr">
        <is>
          <t>3kg</t>
        </is>
      </c>
      <c r="S21" s="69" t="inlineStr">
        <is>
          <t>Thunnus albacares</t>
        </is>
      </c>
      <c r="T21" s="24" t="inlineStr">
        <is>
          <t>FAO 57</t>
        </is>
      </c>
      <c r="U21" s="24" t="inlineStr">
        <is>
          <t>Sri Lanka</t>
        </is>
      </c>
      <c r="V21" s="24" t="inlineStr">
        <is>
          <t>SSV230</t>
        </is>
      </c>
      <c r="W21" s="26" t="n">
        <v>46200</v>
      </c>
      <c r="X21" s="69" t="n"/>
      <c r="Y21" s="26" t="n">
        <v>46211</v>
      </c>
      <c r="Z21" s="46" t="n">
        <v>2806026</v>
      </c>
      <c r="AA21" s="6" t="n">
        <v>0.3256397390868038</v>
      </c>
      <c r="AB21" s="47">
        <f>1-AA21</f>
        <v/>
      </c>
      <c r="AC21" t="inlineStr">
        <is>
          <t>conforme(s) au(x) critère(s)</t>
        </is>
      </c>
      <c r="AD21" s="22" t="inlineStr">
        <is>
          <t>A-</t>
        </is>
      </c>
    </row>
    <row r="22" ht="15.75" customHeight="1">
      <c r="A22" s="69" t="inlineStr">
        <is>
          <t>NOVOCIB Rapport d'essai 260703-19</t>
        </is>
      </c>
      <c r="B22" s="69" t="inlineStr">
        <is>
          <t>260703-19</t>
        </is>
      </c>
      <c r="C22" s="23" t="n">
        <v>19</v>
      </c>
      <c r="D22" s="28" t="n">
        <v>46206</v>
      </c>
      <c r="E22" s="24" t="inlineStr">
        <is>
          <t>Thon décongelé 19</t>
        </is>
      </c>
      <c r="F22" s="30" t="inlineStr">
        <is>
          <t>Comptoirs Océaniques</t>
        </is>
      </c>
      <c r="G22" s="30" t="inlineStr">
        <is>
          <t>7 rue Gustave Serruier, 76620 Le Havre</t>
        </is>
      </c>
      <c r="H22" s="30" t="inlineStr">
        <is>
          <t>Adeline Levasseur</t>
        </is>
      </c>
      <c r="I22" s="30" t="inlineStr">
        <is>
          <t>Directrice qualité</t>
        </is>
      </c>
      <c r="J22" s="30" t="inlineStr">
        <is>
          <t>Comptoir Océanique</t>
        </is>
      </c>
      <c r="K22" s="28" t="inlineStr">
        <is>
          <t>02/07/26 13h</t>
        </is>
      </c>
      <c r="L22" s="30" t="inlineStr">
        <is>
          <t>Boulogne-sur-Mer</t>
        </is>
      </c>
      <c r="M22" s="30" t="inlineStr">
        <is>
          <t>glace</t>
        </is>
      </c>
      <c r="N22" s="28" t="inlineStr">
        <is>
          <t>02/07/26 13h15</t>
        </is>
      </c>
      <c r="O22" s="30" t="inlineStr">
        <is>
          <t>4°C</t>
        </is>
      </c>
      <c r="P22" s="28" t="inlineStr">
        <is>
          <t>02/07/26 16h</t>
        </is>
      </c>
      <c r="Q22" s="24" t="inlineStr">
        <is>
          <t>Shin Huyn</t>
        </is>
      </c>
      <c r="R22" s="69" t="n"/>
      <c r="S22" s="39" t="inlineStr">
        <is>
          <t>Thunnus obesus</t>
        </is>
      </c>
      <c r="T22" s="24" t="inlineStr">
        <is>
          <t>FAO 71 et 77</t>
        </is>
      </c>
      <c r="U22" s="24" t="inlineStr">
        <is>
          <t>Coré</t>
        </is>
      </c>
      <c r="V22" s="24" t="inlineStr">
        <is>
          <t>SH 2601</t>
        </is>
      </c>
      <c r="W22" s="27" t="n">
        <v>46202</v>
      </c>
      <c r="X22" s="23" t="n">
        <v>72252</v>
      </c>
      <c r="Y22" s="27" t="n">
        <v>46202</v>
      </c>
      <c r="Z22" s="46" t="n">
        <v>2806026</v>
      </c>
      <c r="AA22" s="6" t="n">
        <v>0.6942196531791908</v>
      </c>
      <c r="AB22" s="47">
        <f>1-AA22</f>
        <v/>
      </c>
      <c r="AC22" t="inlineStr">
        <is>
          <t>conforme(s) au(x) critère(s)</t>
        </is>
      </c>
      <c r="AD22" s="22" t="inlineStr">
        <is>
          <t>Extra</t>
        </is>
      </c>
    </row>
    <row r="23">
      <c r="A23" s="69" t="inlineStr">
        <is>
          <t>NOVOCIB Rapport d'essai 260703-23</t>
        </is>
      </c>
      <c r="B23" s="69" t="inlineStr">
        <is>
          <t>260703-23</t>
        </is>
      </c>
      <c r="C23" s="23" t="n">
        <v>23</v>
      </c>
      <c r="D23" s="28" t="n">
        <v>46206</v>
      </c>
      <c r="E23" s="24" t="inlineStr">
        <is>
          <t>Thon  déc saumuré 23</t>
        </is>
      </c>
      <c r="F23" s="30" t="inlineStr">
        <is>
          <t>Comptoirs Océaniques</t>
        </is>
      </c>
      <c r="G23" s="30" t="inlineStr">
        <is>
          <t>7 rue Gustave Serruier, 76620 Le Havre</t>
        </is>
      </c>
      <c r="H23" s="30" t="inlineStr">
        <is>
          <t>Adeline Levasseur</t>
        </is>
      </c>
      <c r="I23" s="30" t="inlineStr">
        <is>
          <t>Directrice qualité</t>
        </is>
      </c>
      <c r="J23" s="30" t="inlineStr">
        <is>
          <t>Comptoir Océanique</t>
        </is>
      </c>
      <c r="K23" s="28" t="inlineStr">
        <is>
          <t>02/07/26 13h</t>
        </is>
      </c>
      <c r="L23" s="30" t="inlineStr">
        <is>
          <t>Boulogne-sur-Mer</t>
        </is>
      </c>
      <c r="M23" s="30" t="inlineStr">
        <is>
          <t>glace</t>
        </is>
      </c>
      <c r="N23" s="28" t="inlineStr">
        <is>
          <t>02/07/26 13h15</t>
        </is>
      </c>
      <c r="O23" s="30" t="inlineStr">
        <is>
          <t>4°C</t>
        </is>
      </c>
      <c r="P23" s="28" t="inlineStr">
        <is>
          <t>02/07/26 16h</t>
        </is>
      </c>
      <c r="Q23" s="24" t="inlineStr">
        <is>
          <t xml:space="preserve">crustac LIDL </t>
        </is>
      </c>
      <c r="R23" s="69" t="n"/>
      <c r="S23" s="69" t="inlineStr">
        <is>
          <t>Thunnus albacares</t>
        </is>
      </c>
      <c r="T23" s="24" t="inlineStr">
        <is>
          <t>FAO 51</t>
        </is>
      </c>
      <c r="U23" s="24" t="inlineStr">
        <is>
          <t xml:space="preserve">Transformé en France </t>
        </is>
      </c>
      <c r="V23" s="12" t="n"/>
      <c r="W23" s="24" t="inlineStr">
        <is>
          <t>nr</t>
        </is>
      </c>
      <c r="X23" s="69" t="n"/>
      <c r="Y23" s="40" t="n">
        <v>46214</v>
      </c>
      <c r="Z23" s="46" t="n">
        <v>2806026</v>
      </c>
      <c r="AA23" s="6" t="n">
        <v>0.6176623376623378</v>
      </c>
      <c r="AB23" s="47">
        <f>1-AA23</f>
        <v/>
      </c>
      <c r="AC23" t="inlineStr">
        <is>
          <t>conforme(s) au(x) critère(s)</t>
        </is>
      </c>
      <c r="AD23" s="22" t="inlineStr">
        <is>
          <t>A+</t>
        </is>
      </c>
    </row>
    <row r="24">
      <c r="A24" s="69" t="inlineStr">
        <is>
          <t>NOVOCIB Rapport d'essai 260703-24</t>
        </is>
      </c>
      <c r="B24" s="69" t="inlineStr">
        <is>
          <t>260703-24</t>
        </is>
      </c>
      <c r="C24" s="23" t="n">
        <v>24</v>
      </c>
      <c r="D24" s="28" t="n">
        <v>46206</v>
      </c>
      <c r="E24" s="24" t="inlineStr">
        <is>
          <t>Thon  déc saumuré 24</t>
        </is>
      </c>
      <c r="F24" s="30" t="inlineStr">
        <is>
          <t>Comptoirs Océaniques</t>
        </is>
      </c>
      <c r="G24" s="30" t="inlineStr">
        <is>
          <t>7 rue Gustave Serruier, 76620 Le Havre</t>
        </is>
      </c>
      <c r="H24" s="30" t="inlineStr">
        <is>
          <t>Adeline Levasseur</t>
        </is>
      </c>
      <c r="I24" s="30" t="inlineStr">
        <is>
          <t>Directrice qualité</t>
        </is>
      </c>
      <c r="J24" s="30" t="inlineStr">
        <is>
          <t>Comptoir Océanique</t>
        </is>
      </c>
      <c r="K24" s="28" t="inlineStr">
        <is>
          <t>02/07/26 13h</t>
        </is>
      </c>
      <c r="L24" s="30" t="inlineStr">
        <is>
          <t>Boulogne-sur-Mer</t>
        </is>
      </c>
      <c r="M24" s="30" t="inlineStr">
        <is>
          <t>glace</t>
        </is>
      </c>
      <c r="N24" s="28" t="inlineStr">
        <is>
          <t>02/07/26 13h15</t>
        </is>
      </c>
      <c r="O24" s="30" t="inlineStr">
        <is>
          <t>4°C</t>
        </is>
      </c>
      <c r="P24" s="28" t="inlineStr">
        <is>
          <t>02/07/26 16h</t>
        </is>
      </c>
      <c r="Q24" s="24" t="inlineStr">
        <is>
          <t xml:space="preserve">crustac LIDL </t>
        </is>
      </c>
      <c r="R24" s="69" t="n"/>
      <c r="S24" s="69" t="inlineStr">
        <is>
          <t>Thunnus albacares</t>
        </is>
      </c>
      <c r="T24" s="24" t="inlineStr">
        <is>
          <t>FAO 51</t>
        </is>
      </c>
      <c r="U24" s="24" t="inlineStr">
        <is>
          <t xml:space="preserve">Transformé en France </t>
        </is>
      </c>
      <c r="V24" s="12" t="n"/>
      <c r="W24" s="24" t="inlineStr">
        <is>
          <t>nr</t>
        </is>
      </c>
      <c r="X24" s="69" t="n"/>
      <c r="Y24" s="40" t="n">
        <v>46214</v>
      </c>
      <c r="Z24" s="46" t="n">
        <v>2806026</v>
      </c>
      <c r="AA24" s="6" t="n">
        <v>0.6223516949152543</v>
      </c>
      <c r="AB24" s="47">
        <f>1-AA24</f>
        <v/>
      </c>
      <c r="AC24" t="inlineStr">
        <is>
          <t>conforme(s) au(x) critère(s)</t>
        </is>
      </c>
      <c r="AD24" s="22" t="inlineStr">
        <is>
          <t>A+</t>
        </is>
      </c>
    </row>
    <row r="25">
      <c r="A25" s="69" t="inlineStr">
        <is>
          <t>NOVOCIB Rapport d'essai 260703-10</t>
        </is>
      </c>
      <c r="B25" s="69" t="inlineStr">
        <is>
          <t>260703-10</t>
        </is>
      </c>
      <c r="C25" s="23" t="n">
        <v>10</v>
      </c>
      <c r="D25" s="28" t="n">
        <v>46206</v>
      </c>
      <c r="E25" s="3" t="inlineStr">
        <is>
          <t>Thon frais naturel 10</t>
        </is>
      </c>
      <c r="F25" s="30" t="inlineStr">
        <is>
          <t>Comptoirs Océaniques</t>
        </is>
      </c>
      <c r="G25" s="30" t="inlineStr">
        <is>
          <t>7 rue Gustave Serruier, 76620 Le Havre</t>
        </is>
      </c>
      <c r="H25" s="30" t="inlineStr">
        <is>
          <t>Adeline Levasseur</t>
        </is>
      </c>
      <c r="I25" s="30" t="inlineStr">
        <is>
          <t>Directrice qualité</t>
        </is>
      </c>
      <c r="J25" s="30" t="inlineStr">
        <is>
          <t>Comptoir Océanique</t>
        </is>
      </c>
      <c r="K25" s="28" t="inlineStr">
        <is>
          <t>03/07/26 13h</t>
        </is>
      </c>
      <c r="L25" s="30" t="inlineStr">
        <is>
          <t>Boulogne-sur-Mer</t>
        </is>
      </c>
      <c r="M25" s="30" t="inlineStr">
        <is>
          <t>glace</t>
        </is>
      </c>
      <c r="N25" s="28" t="inlineStr">
        <is>
          <t>03/07/26 13h15</t>
        </is>
      </c>
      <c r="O25" s="30" t="inlineStr">
        <is>
          <t>4°C</t>
        </is>
      </c>
      <c r="P25" s="28" t="inlineStr">
        <is>
          <t>03/07/26 16h</t>
        </is>
      </c>
      <c r="Q25" s="24" t="inlineStr">
        <is>
          <t>Lihini seafoods</t>
        </is>
      </c>
      <c r="R25" s="25" t="inlineStr">
        <is>
          <t>2.92kg</t>
        </is>
      </c>
      <c r="S25" s="69" t="inlineStr">
        <is>
          <t>Thunnus albacares</t>
        </is>
      </c>
      <c r="T25" s="24" t="inlineStr">
        <is>
          <t>FAO 57</t>
        </is>
      </c>
      <c r="U25" s="24" t="inlineStr">
        <is>
          <t>Sri Lanka</t>
        </is>
      </c>
      <c r="V25" s="24" t="inlineStr">
        <is>
          <t>SSV230</t>
        </is>
      </c>
      <c r="W25" s="26" t="n">
        <v>46200</v>
      </c>
      <c r="X25" s="69" t="n"/>
      <c r="Y25" s="26" t="n">
        <v>46211</v>
      </c>
      <c r="Z25" s="46" t="n">
        <v>2806026</v>
      </c>
      <c r="AA25" s="6" t="n">
        <v>0.2511938872970392</v>
      </c>
      <c r="AB25" s="47" t="n">
        <v>0.4742120343839542</v>
      </c>
      <c r="AC25" t="inlineStr">
        <is>
          <t>conforme(s) au(x) critère(s)</t>
        </is>
      </c>
      <c r="AD25" s="22" t="inlineStr">
        <is>
          <t>A-</t>
        </is>
      </c>
    </row>
    <row r="26" ht="15.75" customHeight="1">
      <c r="A26" s="69" t="inlineStr">
        <is>
          <t>NOVOCIB Rapport d'essai 260703-20</t>
        </is>
      </c>
      <c r="B26" s="69" t="inlineStr">
        <is>
          <t>260703-20</t>
        </is>
      </c>
      <c r="C26" s="23" t="n">
        <v>20</v>
      </c>
      <c r="D26" s="28" t="n">
        <v>46206</v>
      </c>
      <c r="E26" s="24" t="inlineStr">
        <is>
          <t>Thon décongelé 20</t>
        </is>
      </c>
      <c r="F26" s="30" t="inlineStr">
        <is>
          <t>Comptoirs Océaniques</t>
        </is>
      </c>
      <c r="G26" s="30" t="inlineStr">
        <is>
          <t>7 rue Gustave Serruier, 76620 Le Havre</t>
        </is>
      </c>
      <c r="H26" s="30" t="inlineStr">
        <is>
          <t>Adeline Levasseur</t>
        </is>
      </c>
      <c r="I26" s="30" t="inlineStr">
        <is>
          <t>Directrice qualité</t>
        </is>
      </c>
      <c r="J26" s="30" t="inlineStr">
        <is>
          <t>Comptoir Océanique</t>
        </is>
      </c>
      <c r="K26" s="28" t="inlineStr">
        <is>
          <t>03/07/26 13h</t>
        </is>
      </c>
      <c r="L26" s="30" t="inlineStr">
        <is>
          <t>Boulogne-sur-Mer</t>
        </is>
      </c>
      <c r="M26" s="30" t="inlineStr">
        <is>
          <t>glace</t>
        </is>
      </c>
      <c r="N26" s="28" t="inlineStr">
        <is>
          <t>03/07/26 13h15</t>
        </is>
      </c>
      <c r="O26" s="30" t="inlineStr">
        <is>
          <t>4°C</t>
        </is>
      </c>
      <c r="P26" s="28" t="inlineStr">
        <is>
          <t>03/07/26 16h</t>
        </is>
      </c>
      <c r="Q26" s="24" t="inlineStr">
        <is>
          <t>Shin Huyn</t>
        </is>
      </c>
      <c r="R26" s="69" t="n"/>
      <c r="S26" s="39" t="inlineStr">
        <is>
          <t>Thunnus obesus</t>
        </is>
      </c>
      <c r="T26" s="24" t="inlineStr">
        <is>
          <t>FAO 71 et 77</t>
        </is>
      </c>
      <c r="U26" s="24" t="inlineStr">
        <is>
          <t>Coré</t>
        </is>
      </c>
      <c r="V26" s="24" t="inlineStr">
        <is>
          <t>SH 2601</t>
        </is>
      </c>
      <c r="W26" s="27" t="n">
        <v>46202</v>
      </c>
      <c r="X26" s="23" t="n">
        <v>72252</v>
      </c>
      <c r="Y26" s="27" t="n">
        <v>46209</v>
      </c>
      <c r="Z26" s="46" t="n">
        <v>2806026</v>
      </c>
      <c r="AA26" s="6" t="n">
        <v>0.7728215767634855</v>
      </c>
      <c r="AB26" s="47" t="n">
        <v>0.1441908713692946</v>
      </c>
      <c r="AC26" t="inlineStr">
        <is>
          <t>conforme(s) au(x) critère(s)</t>
        </is>
      </c>
      <c r="AD26" s="22" t="inlineStr">
        <is>
          <t>Extra+</t>
        </is>
      </c>
    </row>
    <row r="27" ht="15.75" customHeight="1">
      <c r="C27" s="21" t="n">
        <v>26</v>
      </c>
      <c r="D27" s="63" t="n">
        <v>46227</v>
      </c>
      <c r="E27" s="49" t="inlineStr">
        <is>
          <t>thon albacore 26</t>
        </is>
      </c>
      <c r="F27" s="30" t="inlineStr">
        <is>
          <t>Comptoirs Océaniques</t>
        </is>
      </c>
      <c r="G27" s="30" t="inlineStr">
        <is>
          <t>7 rue Gustave Serruier, 76620 Le Havre</t>
        </is>
      </c>
      <c r="H27" s="30" t="inlineStr">
        <is>
          <t>Adeline Levasseur</t>
        </is>
      </c>
      <c r="I27" s="30" t="inlineStr">
        <is>
          <t>Directrice qualité</t>
        </is>
      </c>
      <c r="J27" s="30" t="inlineStr">
        <is>
          <t>Comptoir Océanique</t>
        </is>
      </c>
      <c r="K27" s="53" t="inlineStr">
        <is>
          <t>10/07/26 12h</t>
        </is>
      </c>
      <c r="L27" s="30" t="inlineStr">
        <is>
          <t>Boulogne-sur-Mer</t>
        </is>
      </c>
      <c r="M27" s="30" t="inlineStr">
        <is>
          <t>glace</t>
        </is>
      </c>
      <c r="N27" s="53" t="inlineStr">
        <is>
          <t>10/07/26 12h15</t>
        </is>
      </c>
      <c r="O27" s="30" t="inlineStr">
        <is>
          <t>congelé</t>
        </is>
      </c>
      <c r="P27" s="28" t="inlineStr">
        <is>
          <t>10/07/26 16h</t>
        </is>
      </c>
      <c r="Q27" s="49" t="inlineStr">
        <is>
          <t>indonésie  leclerc</t>
        </is>
      </c>
      <c r="R27" s="49" t="n"/>
      <c r="S27" s="69" t="inlineStr">
        <is>
          <t>Thunnus albacares</t>
        </is>
      </c>
      <c r="T27" s="49" t="inlineStr">
        <is>
          <t>FAO 57 PALANGRE</t>
        </is>
      </c>
      <c r="U27" s="49" t="inlineStr">
        <is>
          <t>FAO 57 PALANGRE</t>
        </is>
      </c>
      <c r="V27" s="50" t="n"/>
      <c r="W27" s="51" t="n">
        <v>45731</v>
      </c>
      <c r="X27" s="50" t="n"/>
      <c r="Y27" s="52" t="n">
        <v>46813</v>
      </c>
      <c r="Z27" s="54" t="n">
        <v>100626</v>
      </c>
      <c r="AA27" s="6" t="n">
        <v>0.6209386281588447</v>
      </c>
      <c r="AB27" s="47">
        <f>1-AA27</f>
        <v/>
      </c>
      <c r="AC27" t="inlineStr">
        <is>
          <t>conforme(s) au(x) critère(s)</t>
        </is>
      </c>
      <c r="AD27" s="22" t="inlineStr">
        <is>
          <t>A+</t>
        </is>
      </c>
    </row>
    <row r="28" ht="15.75" customHeight="1">
      <c r="C28" s="21" t="n">
        <v>27</v>
      </c>
      <c r="D28" s="63" t="n">
        <v>46227</v>
      </c>
      <c r="E28" s="49" t="inlineStr">
        <is>
          <t>carrefour thon albacore 27</t>
        </is>
      </c>
      <c r="F28" s="30" t="inlineStr">
        <is>
          <t>Comptoirs Océaniques</t>
        </is>
      </c>
      <c r="G28" s="30" t="inlineStr">
        <is>
          <t>7 rue Gustave Serruier, 76620 Le Havre</t>
        </is>
      </c>
      <c r="H28" s="30" t="inlineStr">
        <is>
          <t>Adeline Levasseur</t>
        </is>
      </c>
      <c r="I28" s="30" t="inlineStr">
        <is>
          <t>Directrice qualité</t>
        </is>
      </c>
      <c r="J28" s="30" t="inlineStr">
        <is>
          <t>Comptoir Océanique</t>
        </is>
      </c>
      <c r="K28" s="53" t="inlineStr">
        <is>
          <t>10/07/26 12h</t>
        </is>
      </c>
      <c r="L28" s="30" t="inlineStr">
        <is>
          <t>Boulogne-sur-Mer</t>
        </is>
      </c>
      <c r="M28" s="30" t="inlineStr">
        <is>
          <t>glace</t>
        </is>
      </c>
      <c r="N28" s="53" t="inlineStr">
        <is>
          <t>10/07/26 12h15</t>
        </is>
      </c>
      <c r="O28" s="30" t="inlineStr">
        <is>
          <t>congelé</t>
        </is>
      </c>
      <c r="P28" s="28" t="inlineStr">
        <is>
          <t>10/07/26 16h</t>
        </is>
      </c>
      <c r="Q28" s="49" t="inlineStr">
        <is>
          <t xml:space="preserve">golden ocean </t>
        </is>
      </c>
      <c r="R28" s="49" t="n"/>
      <c r="S28" s="69" t="inlineStr">
        <is>
          <t>Thunnus albacares</t>
        </is>
      </c>
      <c r="T28" s="49" t="inlineStr">
        <is>
          <t>FAO 71</t>
        </is>
      </c>
      <c r="U28" s="49" t="inlineStr">
        <is>
          <t>ocean pacifique FAO 71</t>
        </is>
      </c>
      <c r="V28" s="49" t="inlineStr">
        <is>
          <t>fab 16212</t>
        </is>
      </c>
      <c r="W28" s="51" t="n">
        <v>45868</v>
      </c>
      <c r="X28" s="48" t="n">
        <v>6014019</v>
      </c>
      <c r="Y28" s="51" t="n">
        <v>46964</v>
      </c>
      <c r="Z28" s="54" t="n">
        <v>100626</v>
      </c>
      <c r="AA28" s="6" t="n">
        <v>0.8953219082908753</v>
      </c>
      <c r="AB28" s="47">
        <f>1-AA28</f>
        <v/>
      </c>
      <c r="AC28" t="inlineStr">
        <is>
          <t>conforme(s) au(x) critère(s)</t>
        </is>
      </c>
      <c r="AD28" s="22" t="inlineStr">
        <is>
          <t>Sashimi</t>
        </is>
      </c>
    </row>
    <row r="29" ht="15.75" customHeight="1">
      <c r="C29" s="21" t="n">
        <v>28</v>
      </c>
      <c r="D29" s="63" t="n">
        <v>46227</v>
      </c>
      <c r="E29" s="49" t="inlineStr">
        <is>
          <t>picard thon albacore 28</t>
        </is>
      </c>
      <c r="F29" s="30" t="inlineStr">
        <is>
          <t>Comptoirs Océaniques</t>
        </is>
      </c>
      <c r="G29" s="30" t="inlineStr">
        <is>
          <t>7 rue Gustave Serruier, 76620 Le Havre</t>
        </is>
      </c>
      <c r="H29" s="30" t="inlineStr">
        <is>
          <t>Adeline Levasseur</t>
        </is>
      </c>
      <c r="I29" s="30" t="inlineStr">
        <is>
          <t>Directrice qualité</t>
        </is>
      </c>
      <c r="J29" s="30" t="inlineStr">
        <is>
          <t>Comptoir Océanique</t>
        </is>
      </c>
      <c r="K29" s="53" t="inlineStr">
        <is>
          <t>10/07/26 12h</t>
        </is>
      </c>
      <c r="L29" s="30" t="inlineStr">
        <is>
          <t>Boulogne-sur-Mer</t>
        </is>
      </c>
      <c r="M29" s="30" t="inlineStr">
        <is>
          <t>glace</t>
        </is>
      </c>
      <c r="N29" s="53" t="inlineStr">
        <is>
          <t>10/07/26 12h15</t>
        </is>
      </c>
      <c r="O29" s="30" t="inlineStr">
        <is>
          <t>congelé</t>
        </is>
      </c>
      <c r="P29" s="63" t="inlineStr">
        <is>
          <t>24/07/26 12h</t>
        </is>
      </c>
      <c r="Q29" s="50" t="n"/>
      <c r="R29" s="49" t="n"/>
      <c r="S29" s="69" t="inlineStr">
        <is>
          <t>Thunnus albacares</t>
        </is>
      </c>
      <c r="T29" s="49" t="inlineStr">
        <is>
          <t>FAO 51</t>
        </is>
      </c>
      <c r="U29" s="49" t="inlineStr">
        <is>
          <t>ocean indien FAO 51</t>
        </is>
      </c>
      <c r="V29" s="49" t="inlineStr">
        <is>
          <t>fabech2608</t>
        </is>
      </c>
      <c r="W29" s="51" t="n">
        <v>45989</v>
      </c>
      <c r="X29" s="48" t="n">
        <v>7096003</v>
      </c>
      <c r="Y29" s="51" t="n">
        <v>46901</v>
      </c>
      <c r="Z29" s="54" t="n">
        <v>100626</v>
      </c>
      <c r="AA29" s="69" t="n"/>
      <c r="AB29" s="47">
        <f>1-AA29</f>
        <v/>
      </c>
      <c r="AC29" t="inlineStr">
        <is>
          <t>conforme(s) au(x) critère(s)</t>
        </is>
      </c>
      <c r="AD29" s="69" t="n"/>
    </row>
    <row r="30" ht="15.75" customHeight="1">
      <c r="C30" s="21" t="n">
        <v>29</v>
      </c>
      <c r="D30" s="63" t="n">
        <v>46227</v>
      </c>
      <c r="E30" s="49" t="inlineStr">
        <is>
          <t>picard thon listao  29</t>
        </is>
      </c>
      <c r="F30" s="30" t="inlineStr">
        <is>
          <t>Comptoirs Océaniques</t>
        </is>
      </c>
      <c r="G30" s="30" t="inlineStr">
        <is>
          <t>7 rue Gustave Serruier, 76620 Le Havre</t>
        </is>
      </c>
      <c r="H30" s="30" t="inlineStr">
        <is>
          <t>Adeline Levasseur</t>
        </is>
      </c>
      <c r="I30" s="30" t="inlineStr">
        <is>
          <t>Directrice qualité</t>
        </is>
      </c>
      <c r="J30" s="30" t="inlineStr">
        <is>
          <t>Comptoir Océanique</t>
        </is>
      </c>
      <c r="K30" s="53" t="inlineStr">
        <is>
          <t>10/07/26 12h</t>
        </is>
      </c>
      <c r="L30" s="30" t="inlineStr">
        <is>
          <t>Boulogne-sur-Mer</t>
        </is>
      </c>
      <c r="M30" s="30" t="inlineStr">
        <is>
          <t>glace</t>
        </is>
      </c>
      <c r="N30" s="53" t="inlineStr">
        <is>
          <t>10/07/26 12h15</t>
        </is>
      </c>
      <c r="O30" s="30" t="inlineStr">
        <is>
          <t>congelé</t>
        </is>
      </c>
      <c r="P30" s="63" t="inlineStr">
        <is>
          <t>24/07/26 12h</t>
        </is>
      </c>
      <c r="Q30" s="50" t="n"/>
      <c r="R30" s="49" t="n"/>
      <c r="S30" s="49" t="inlineStr">
        <is>
          <t xml:space="preserve">LISTAO </t>
        </is>
      </c>
      <c r="T30" s="49" t="inlineStr">
        <is>
          <t xml:space="preserve"> FAO 52</t>
        </is>
      </c>
      <c r="U30" s="49" t="inlineStr">
        <is>
          <t>ocean indien FAO 52</t>
        </is>
      </c>
      <c r="V30" s="49" t="inlineStr">
        <is>
          <t>fabech2508</t>
        </is>
      </c>
      <c r="W30" s="51" t="n">
        <v>45662</v>
      </c>
      <c r="X30" s="48" t="n">
        <v>7097002</v>
      </c>
      <c r="Y30" s="51" t="n">
        <v>46387</v>
      </c>
      <c r="Z30" s="54" t="n">
        <v>100626</v>
      </c>
      <c r="AA30" s="69" t="n"/>
      <c r="AB30" s="47">
        <f>1-AA30</f>
        <v/>
      </c>
      <c r="AC30" t="inlineStr">
        <is>
          <t>conforme(s) au(x) critère(s)</t>
        </is>
      </c>
      <c r="AD30" s="69" t="n"/>
    </row>
    <row r="31" ht="15.75" customHeight="1">
      <c r="C31" s="21" t="n">
        <v>30</v>
      </c>
      <c r="D31" s="63" t="n">
        <v>46227</v>
      </c>
      <c r="E31" s="49" t="inlineStr">
        <is>
          <t>picard thon germon  30</t>
        </is>
      </c>
      <c r="F31" s="30" t="inlineStr">
        <is>
          <t>Comptoirs Océaniques</t>
        </is>
      </c>
      <c r="G31" s="30" t="inlineStr">
        <is>
          <t>7 rue Gustave Serruier, 76620 Le Havre</t>
        </is>
      </c>
      <c r="H31" s="30" t="inlineStr">
        <is>
          <t>Adeline Levasseur</t>
        </is>
      </c>
      <c r="I31" s="30" t="inlineStr">
        <is>
          <t>Directrice qualité</t>
        </is>
      </c>
      <c r="J31" s="30" t="inlineStr">
        <is>
          <t>Comptoir Océanique</t>
        </is>
      </c>
      <c r="K31" s="53" t="inlineStr">
        <is>
          <t>10/07/26 12h</t>
        </is>
      </c>
      <c r="L31" s="30" t="inlineStr">
        <is>
          <t>Boulogne-sur-Mer</t>
        </is>
      </c>
      <c r="M31" s="30" t="inlineStr">
        <is>
          <t>glace</t>
        </is>
      </c>
      <c r="N31" s="53" t="inlineStr">
        <is>
          <t>10/07/26 12h15</t>
        </is>
      </c>
      <c r="O31" s="30" t="inlineStr">
        <is>
          <t>congelé</t>
        </is>
      </c>
      <c r="P31" s="28" t="inlineStr">
        <is>
          <t>10/07/26 16h</t>
        </is>
      </c>
      <c r="Q31" s="49" t="inlineStr">
        <is>
          <t xml:space="preserve">golden ocean </t>
        </is>
      </c>
      <c r="R31" s="49" t="n"/>
      <c r="S31" s="49" t="inlineStr">
        <is>
          <t xml:space="preserve">GERMON </t>
        </is>
      </c>
      <c r="T31" s="49" t="inlineStr">
        <is>
          <t>FAO 71</t>
        </is>
      </c>
      <c r="U31" s="49" t="inlineStr">
        <is>
          <t>ocean pacifique FAO 71</t>
        </is>
      </c>
      <c r="V31" s="49" t="inlineStr">
        <is>
          <t>fab 16211</t>
        </is>
      </c>
      <c r="W31" s="51" t="n">
        <v>45964</v>
      </c>
      <c r="X31" s="49" t="n">
        <v>6020200</v>
      </c>
      <c r="Y31" s="51" t="n">
        <v>46694</v>
      </c>
      <c r="Z31" s="54" t="n">
        <v>100626</v>
      </c>
      <c r="AA31" s="6" t="n">
        <v>0.7371134020618556</v>
      </c>
      <c r="AB31" s="47" t="n">
        <v>0.4742120343839542</v>
      </c>
      <c r="AC31" t="inlineStr">
        <is>
          <t>conforme(s) au(x) critère(s)</t>
        </is>
      </c>
      <c r="AD31" s="22" t="inlineStr">
        <is>
          <t>Extra+</t>
        </is>
      </c>
    </row>
    <row r="32" ht="15.75" customHeight="1">
      <c r="D32" s="63" t="n"/>
      <c r="E32" s="49" t="n"/>
      <c r="F32" s="62" t="n"/>
      <c r="G32" s="62" t="n"/>
      <c r="H32" s="62" t="n"/>
      <c r="I32" s="62" t="n"/>
      <c r="J32" s="62" t="n"/>
      <c r="K32" s="63" t="n"/>
      <c r="L32" s="62" t="n"/>
      <c r="M32" s="62" t="n"/>
      <c r="N32" s="63" t="n"/>
      <c r="O32" s="62" t="n"/>
      <c r="P32" s="63" t="n"/>
      <c r="Q32" s="49" t="n"/>
      <c r="R32" s="49" t="n"/>
      <c r="S32" s="64" t="n"/>
      <c r="T32" s="20" t="inlineStr">
        <is>
          <t>agrement</t>
        </is>
      </c>
      <c r="U32" s="20" t="inlineStr">
        <is>
          <t>origine</t>
        </is>
      </c>
      <c r="V32" s="20" t="inlineStr">
        <is>
          <t>lot</t>
        </is>
      </c>
      <c r="W32" s="20" t="inlineStr">
        <is>
          <t>date emabalage</t>
        </is>
      </c>
      <c r="X32" s="20" t="inlineStr">
        <is>
          <t>code article</t>
        </is>
      </c>
      <c r="Y32" s="20" t="inlineStr">
        <is>
          <t>dlc</t>
        </is>
      </c>
      <c r="Z32" s="65" t="n"/>
      <c r="AA32" s="1" t="inlineStr">
        <is>
          <t>imp</t>
        </is>
      </c>
      <c r="AB32" s="1" t="inlineStr">
        <is>
          <t>Hx</t>
        </is>
      </c>
      <c r="AD32" s="22" t="n"/>
    </row>
    <row r="33" customFormat="1" s="55">
      <c r="C33" s="56" t="n">
        <v>1</v>
      </c>
      <c r="D33" s="59" t="n">
        <v>46225</v>
      </c>
      <c r="E33" s="60" t="inlineStr">
        <is>
          <t>DOS CABIL ECO+ P/ANE X200G X6UV</t>
        </is>
      </c>
      <c r="F33" s="58" t="inlineStr">
        <is>
          <t>SCAPMAREE</t>
        </is>
      </c>
      <c r="G33" s="57" t="inlineStr">
        <is>
          <t>5 rue Marcelin Berthelot, 91320 WISSOUS Cedex</t>
        </is>
      </c>
      <c r="H33" s="55" t="inlineStr">
        <is>
          <t xml:space="preserve"> M. Adrien CAGNA</t>
        </is>
      </c>
      <c r="I33" s="55" t="inlineStr">
        <is>
          <t xml:space="preserve">Responsable Qualité </t>
        </is>
      </c>
      <c r="J33" s="55" t="inlineStr">
        <is>
          <t>Copromer</t>
        </is>
      </c>
      <c r="K33" s="59" t="inlineStr">
        <is>
          <t>21/07/2026 11h30</t>
        </is>
      </c>
      <c r="L33" s="55" t="inlineStr">
        <is>
          <t>Boulogne-sur-Mer</t>
        </is>
      </c>
      <c r="M33" s="55" t="inlineStr">
        <is>
          <t>2-4°C</t>
        </is>
      </c>
      <c r="N33" s="59" t="inlineStr">
        <is>
          <t>21/07/2026 11h45</t>
        </is>
      </c>
      <c r="O33" s="55" t="inlineStr">
        <is>
          <t>2-4°C</t>
        </is>
      </c>
      <c r="P33" s="59" t="inlineStr">
        <is>
          <t>21/07/2026 12h30</t>
        </is>
      </c>
      <c r="Q33" s="60" t="inlineStr">
        <is>
          <t>FRAIS EMBAL MDD</t>
        </is>
      </c>
      <c r="R33" s="61" t="inlineStr">
        <is>
          <t>2 X 200gr</t>
        </is>
      </c>
      <c r="S33" s="55" t="inlineStr">
        <is>
          <t xml:space="preserve"> Gadus morhua</t>
        </is>
      </c>
      <c r="T33" s="68" t="inlineStr">
        <is>
          <t>FR62.160.205</t>
        </is>
      </c>
      <c r="U33" s="55" t="inlineStr">
        <is>
          <t>FAO27</t>
        </is>
      </c>
      <c r="V33" s="61" t="n">
        <v>26201</v>
      </c>
      <c r="Y33" s="59" t="n">
        <v>46233</v>
      </c>
      <c r="Z33" s="55" t="n">
        <v>100626</v>
      </c>
      <c r="AA33" s="66" t="n">
        <v>0.0009345794392523372</v>
      </c>
      <c r="AB33" s="66" t="n">
        <v>0.9953271028037383</v>
      </c>
      <c r="AC33" t="inlineStr">
        <is>
          <t>non conforme(s) au(x) critère(s)</t>
        </is>
      </c>
      <c r="AD33" s="67" t="inlineStr">
        <is>
          <t>nc</t>
        </is>
      </c>
    </row>
    <row r="34" customFormat="1" s="55">
      <c r="A34" t="inlineStr">
        <is>
          <t>NOVOCIB Rapport d'essai 260722-2.docx</t>
        </is>
      </c>
      <c r="B34" t="inlineStr">
        <is>
          <t>260722-2</t>
        </is>
      </c>
      <c r="C34" s="56" t="n">
        <v>2</v>
      </c>
      <c r="D34" s="59" t="n">
        <v>46225</v>
      </c>
      <c r="E34" s="60" t="inlineStr">
        <is>
          <t>DOS CABIL ATELIER P/ANE X300G X4UV</t>
        </is>
      </c>
      <c r="F34" s="58" t="inlineStr">
        <is>
          <t>SCAPMAREE</t>
        </is>
      </c>
      <c r="G34" s="57" t="inlineStr">
        <is>
          <t>5 rue Marcelin Berthelot, 91320 WISSOUS Cedex</t>
        </is>
      </c>
      <c r="H34" s="55" t="inlineStr">
        <is>
          <t xml:space="preserve"> M. Adrien CAGNA</t>
        </is>
      </c>
      <c r="I34" s="55" t="inlineStr">
        <is>
          <t xml:space="preserve">Responsable Qualité </t>
        </is>
      </c>
      <c r="J34" s="55" t="inlineStr">
        <is>
          <t>Copromer</t>
        </is>
      </c>
      <c r="K34" s="59" t="inlineStr">
        <is>
          <t>21/07/2026 11h30</t>
        </is>
      </c>
      <c r="L34" s="55" t="inlineStr">
        <is>
          <t>Boulogne-sur-Mer</t>
        </is>
      </c>
      <c r="M34" s="55" t="inlineStr">
        <is>
          <t>2-4°C</t>
        </is>
      </c>
      <c r="N34" s="59" t="inlineStr">
        <is>
          <t>21/07/2026 11h45</t>
        </is>
      </c>
      <c r="O34" s="55" t="inlineStr">
        <is>
          <t>2-4°C</t>
        </is>
      </c>
      <c r="P34" s="59" t="inlineStr">
        <is>
          <t>21/07/2026 12h30</t>
        </is>
      </c>
      <c r="Q34" s="60" t="inlineStr">
        <is>
          <t>FRAIS EMBAL MDD</t>
        </is>
      </c>
      <c r="R34" s="61" t="inlineStr">
        <is>
          <t>2 X 300gr</t>
        </is>
      </c>
      <c r="S34" s="55" t="inlineStr">
        <is>
          <t xml:space="preserve"> Gadus morhua</t>
        </is>
      </c>
      <c r="T34" s="68" t="inlineStr">
        <is>
          <t>FR62.160.205</t>
        </is>
      </c>
      <c r="U34" s="55" t="inlineStr">
        <is>
          <t>FAO27</t>
        </is>
      </c>
      <c r="V34" s="61" t="n">
        <v>26201</v>
      </c>
      <c r="Y34" s="59" t="n">
        <v>46233</v>
      </c>
      <c r="Z34" s="55" t="n">
        <v>100626</v>
      </c>
      <c r="AA34" s="66" t="n">
        <v>0.003131524008350733</v>
      </c>
      <c r="AB34" s="66" t="n">
        <v>0.9801670146137786</v>
      </c>
      <c r="AC34" t="inlineStr">
        <is>
          <t>non conforme(s) au(x) critère(s)</t>
        </is>
      </c>
      <c r="AD34" s="67" t="inlineStr">
        <is>
          <t>nc</t>
        </is>
      </c>
    </row>
    <row r="35" customFormat="1" s="55">
      <c r="A35" t="inlineStr">
        <is>
          <t>NOVOCIB Rapport d'essai 260722-3.docx</t>
        </is>
      </c>
      <c r="B35" t="inlineStr">
        <is>
          <t>260722-3</t>
        </is>
      </c>
      <c r="C35" s="56" t="n">
        <v>3</v>
      </c>
      <c r="D35" s="59" t="n">
        <v>46225</v>
      </c>
      <c r="E35" s="60" t="inlineStr">
        <is>
          <t>FLT CABIL ATELIER P/ANE P/ANE X250G X4UV</t>
        </is>
      </c>
      <c r="F35" s="58" t="inlineStr">
        <is>
          <t>SCAPMAREE</t>
        </is>
      </c>
      <c r="G35" s="57" t="inlineStr">
        <is>
          <t>5 rue Marcelin Berthelot, 91320 WISSOUS Cedex</t>
        </is>
      </c>
      <c r="H35" s="55" t="inlineStr">
        <is>
          <t xml:space="preserve"> M. Adrien CAGNA</t>
        </is>
      </c>
      <c r="I35" s="55" t="inlineStr">
        <is>
          <t xml:space="preserve">Responsable Qualité </t>
        </is>
      </c>
      <c r="J35" s="55" t="inlineStr">
        <is>
          <t>Copromer</t>
        </is>
      </c>
      <c r="K35" s="59" t="inlineStr">
        <is>
          <t>21/07/2026 11h30</t>
        </is>
      </c>
      <c r="L35" s="55" t="inlineStr">
        <is>
          <t>Boulogne-sur-Mer</t>
        </is>
      </c>
      <c r="M35" s="55" t="inlineStr">
        <is>
          <t>2-4°C</t>
        </is>
      </c>
      <c r="N35" s="59" t="inlineStr">
        <is>
          <t>21/07/2026 11h45</t>
        </is>
      </c>
      <c r="O35" s="55" t="inlineStr">
        <is>
          <t>2-4°C</t>
        </is>
      </c>
      <c r="P35" s="59" t="inlineStr">
        <is>
          <t>21/07/2026 12h30</t>
        </is>
      </c>
      <c r="Q35" s="60" t="inlineStr">
        <is>
          <t>FRAIS EMBAL MDD</t>
        </is>
      </c>
      <c r="R35" s="61" t="inlineStr">
        <is>
          <t>2 X 250gr</t>
        </is>
      </c>
      <c r="S35" s="55" t="inlineStr">
        <is>
          <t xml:space="preserve"> Gadus morhua</t>
        </is>
      </c>
      <c r="T35" s="68" t="inlineStr">
        <is>
          <t>FR62.160.205</t>
        </is>
      </c>
      <c r="U35" s="55" t="inlineStr">
        <is>
          <t>FAO27</t>
        </is>
      </c>
      <c r="V35" s="61" t="n">
        <v>26201</v>
      </c>
      <c r="Y35" s="59" t="n">
        <v>46233</v>
      </c>
      <c r="Z35" s="55" t="n">
        <v>100626</v>
      </c>
      <c r="AA35" s="66" t="n">
        <v>0.003218884120171647</v>
      </c>
      <c r="AB35" s="66" t="n">
        <v>0.2832618025751073</v>
      </c>
      <c r="AC35" t="inlineStr">
        <is>
          <t>conforme(s) au(x) critère(s)</t>
        </is>
      </c>
      <c r="AD35" s="67" t="inlineStr">
        <is>
          <t>A-</t>
        </is>
      </c>
    </row>
    <row r="36" customFormat="1" s="55">
      <c r="C36" s="56" t="n">
        <v>4</v>
      </c>
      <c r="D36" s="59" t="n">
        <v>46225</v>
      </c>
      <c r="E36" s="60" t="inlineStr">
        <is>
          <t>DOS CABIL ECO+ P/ANE X200G X6UV</t>
        </is>
      </c>
      <c r="F36" s="58" t="inlineStr">
        <is>
          <t>SCAPMAREE</t>
        </is>
      </c>
      <c r="G36" s="57" t="inlineStr">
        <is>
          <t>5 rue Marcelin Berthelot, 91320 WISSOUS Cedex</t>
        </is>
      </c>
      <c r="H36" s="55" t="inlineStr">
        <is>
          <t xml:space="preserve"> M. Adrien CAGNA</t>
        </is>
      </c>
      <c r="I36" s="55" t="inlineStr">
        <is>
          <t xml:space="preserve">Responsable Qualité </t>
        </is>
      </c>
      <c r="J36" s="55" t="inlineStr">
        <is>
          <t>Copromer</t>
        </is>
      </c>
      <c r="K36" s="59" t="inlineStr">
        <is>
          <t>21/07/2026 11h30</t>
        </is>
      </c>
      <c r="L36" s="55" t="inlineStr">
        <is>
          <t>Boulogne-sur-Mer</t>
        </is>
      </c>
      <c r="M36" s="55" t="inlineStr">
        <is>
          <t>2-4°C</t>
        </is>
      </c>
      <c r="N36" s="59" t="inlineStr">
        <is>
          <t>21/07/2026 11h45</t>
        </is>
      </c>
      <c r="O36" s="55" t="inlineStr">
        <is>
          <t>2-4°C</t>
        </is>
      </c>
      <c r="P36" s="59" t="inlineStr">
        <is>
          <t>21/07/2026 12h30</t>
        </is>
      </c>
      <c r="Q36" s="60" t="inlineStr">
        <is>
          <t>BOULOGNE SEAFOOD MDD</t>
        </is>
      </c>
      <c r="R36" s="61" t="inlineStr">
        <is>
          <t>2 X 200gr</t>
        </is>
      </c>
      <c r="S36" s="55" t="inlineStr">
        <is>
          <t xml:space="preserve"> Gadus morhua</t>
        </is>
      </c>
      <c r="T36" s="69" t="inlineStr">
        <is>
          <t>FR62.160.254CE</t>
        </is>
      </c>
      <c r="U36" s="55" t="inlineStr">
        <is>
          <t>FAO27</t>
        </is>
      </c>
      <c r="V36" s="61" t="n">
        <v>120126776</v>
      </c>
      <c r="Y36" s="59" t="n">
        <v>46233</v>
      </c>
      <c r="Z36" s="55" t="n">
        <v>100626</v>
      </c>
      <c r="AA36" s="66" t="n">
        <v>0.0423228346456693</v>
      </c>
      <c r="AB36" s="66" t="n">
        <v>0.1653543307086614</v>
      </c>
      <c r="AC36" t="inlineStr">
        <is>
          <t>conforme(s) au(x) critère(s)</t>
        </is>
      </c>
      <c r="AD36" s="67" t="inlineStr">
        <is>
          <t>A+</t>
        </is>
      </c>
    </row>
    <row r="37" customFormat="1" s="55">
      <c r="C37" s="56" t="n">
        <v>5</v>
      </c>
      <c r="D37" s="59" t="n">
        <v>46225</v>
      </c>
      <c r="E37" s="60" t="inlineStr">
        <is>
          <t>DOS CABIL ATELIER P/ANE X300G X4UV</t>
        </is>
      </c>
      <c r="F37" s="58" t="inlineStr">
        <is>
          <t>SCAPMAREE</t>
        </is>
      </c>
      <c r="G37" s="57" t="inlineStr">
        <is>
          <t>5 rue Marcelin Berthelot, 91320 WISSOUS Cedex</t>
        </is>
      </c>
      <c r="H37" s="55" t="inlineStr">
        <is>
          <t xml:space="preserve"> M. Adrien CAGNA</t>
        </is>
      </c>
      <c r="I37" s="55" t="inlineStr">
        <is>
          <t xml:space="preserve">Responsable Qualité </t>
        </is>
      </c>
      <c r="J37" s="55" t="inlineStr">
        <is>
          <t>Copromer</t>
        </is>
      </c>
      <c r="K37" s="59" t="inlineStr">
        <is>
          <t>21/07/2026 11h30</t>
        </is>
      </c>
      <c r="L37" s="55" t="inlineStr">
        <is>
          <t>Boulogne-sur-Mer</t>
        </is>
      </c>
      <c r="M37" s="55" t="inlineStr">
        <is>
          <t>2-4°C</t>
        </is>
      </c>
      <c r="N37" s="59" t="inlineStr">
        <is>
          <t>21/07/2026 11h45</t>
        </is>
      </c>
      <c r="O37" s="55" t="inlineStr">
        <is>
          <t>2-4°C</t>
        </is>
      </c>
      <c r="P37" s="59" t="inlineStr">
        <is>
          <t>21/07/2026 12h30</t>
        </is>
      </c>
      <c r="Q37" s="60" t="inlineStr">
        <is>
          <t>BOULOGNE SEAFOOD MDD</t>
        </is>
      </c>
      <c r="R37" s="61" t="inlineStr">
        <is>
          <t>2 X 300gr</t>
        </is>
      </c>
      <c r="S37" s="55" t="inlineStr">
        <is>
          <t xml:space="preserve"> Gadus morhua</t>
        </is>
      </c>
      <c r="T37" s="69" t="inlineStr">
        <is>
          <t>FR62.160.254CE</t>
        </is>
      </c>
      <c r="U37" s="55" t="inlineStr">
        <is>
          <t>FAO27</t>
        </is>
      </c>
      <c r="V37" s="61" t="n">
        <v>120126809</v>
      </c>
      <c r="Y37" s="59" t="n">
        <v>46233</v>
      </c>
      <c r="Z37" s="55" t="n">
        <v>100626</v>
      </c>
      <c r="AA37" s="66" t="n">
        <v>0.01004184100418409</v>
      </c>
      <c r="AB37" s="66" t="n">
        <v>0.2100418410041841</v>
      </c>
      <c r="AC37" t="inlineStr">
        <is>
          <t>conforme(s) au(x) critère(s)</t>
        </is>
      </c>
      <c r="AD37" s="67" t="inlineStr">
        <is>
          <t>A</t>
        </is>
      </c>
    </row>
    <row r="38" customFormat="1" s="55">
      <c r="C38" s="56" t="n">
        <v>6</v>
      </c>
      <c r="D38" s="59" t="n">
        <v>46225</v>
      </c>
      <c r="E38" s="60" t="inlineStr">
        <is>
          <t>FLT CABIL ATELIER P/ANE P/ANE X250G X4UV</t>
        </is>
      </c>
      <c r="F38" s="58" t="inlineStr">
        <is>
          <t>SCAPMAREE</t>
        </is>
      </c>
      <c r="G38" s="57" t="inlineStr">
        <is>
          <t>5 rue Marcelin Berthelot, 91320 WISSOUS Cedex</t>
        </is>
      </c>
      <c r="H38" s="55" t="inlineStr">
        <is>
          <t xml:space="preserve"> M. Adrien CAGNA</t>
        </is>
      </c>
      <c r="I38" s="55" t="inlineStr">
        <is>
          <t xml:space="preserve">Responsable Qualité </t>
        </is>
      </c>
      <c r="J38" s="55" t="inlineStr">
        <is>
          <t>Copromer</t>
        </is>
      </c>
      <c r="K38" s="59" t="inlineStr">
        <is>
          <t>21/07/2026 11h30</t>
        </is>
      </c>
      <c r="L38" s="55" t="inlineStr">
        <is>
          <t>Boulogne-sur-Mer</t>
        </is>
      </c>
      <c r="M38" s="55" t="inlineStr">
        <is>
          <t>2-4°C</t>
        </is>
      </c>
      <c r="N38" s="59" t="inlineStr">
        <is>
          <t>21/07/2026 11h45</t>
        </is>
      </c>
      <c r="O38" s="55" t="inlineStr">
        <is>
          <t>2-4°C</t>
        </is>
      </c>
      <c r="P38" s="59" t="inlineStr">
        <is>
          <t>21/07/2026 12h30</t>
        </is>
      </c>
      <c r="Q38" s="60" t="inlineStr">
        <is>
          <t>BOULOGNE SEAFOOD MDD</t>
        </is>
      </c>
      <c r="R38" s="61" t="inlineStr">
        <is>
          <t>2 X 250gr</t>
        </is>
      </c>
      <c r="S38" s="55" t="inlineStr">
        <is>
          <t xml:space="preserve"> Gadus morhua</t>
        </is>
      </c>
      <c r="T38" s="69" t="inlineStr">
        <is>
          <t>FR62.160.254CE</t>
        </is>
      </c>
      <c r="U38" s="55" t="inlineStr">
        <is>
          <t>FAO27</t>
        </is>
      </c>
      <c r="V38" s="61" t="n">
        <v>120126787</v>
      </c>
      <c r="Y38" s="59" t="n">
        <v>46233</v>
      </c>
      <c r="Z38" s="55" t="n">
        <v>100626</v>
      </c>
      <c r="AA38" s="66" t="n">
        <v>0.03893637226970559</v>
      </c>
      <c r="AB38" s="66" t="n">
        <v>0.1937321937321937</v>
      </c>
      <c r="AC38" t="inlineStr">
        <is>
          <t>conforme(s) au(x) critère(s)</t>
        </is>
      </c>
      <c r="AD38" s="67" t="inlineStr">
        <is>
          <t>A+</t>
        </is>
      </c>
    </row>
    <row r="39" customFormat="1" s="55">
      <c r="C39" s="56" t="n">
        <v>7</v>
      </c>
      <c r="D39" s="59" t="n">
        <v>46225</v>
      </c>
      <c r="E39" s="60" t="inlineStr">
        <is>
          <t>FLT CABIL SKIN P/ANE P/ANE X200G X6UV</t>
        </is>
      </c>
      <c r="F39" s="58" t="inlineStr">
        <is>
          <t>SCAPMAREE</t>
        </is>
      </c>
      <c r="G39" s="57" t="inlineStr">
        <is>
          <t>5 rue Marcelin Berthelot, 91320 WISSOUS Cedex</t>
        </is>
      </c>
      <c r="H39" s="55" t="inlineStr">
        <is>
          <t xml:space="preserve"> M. Adrien CAGNA</t>
        </is>
      </c>
      <c r="I39" s="55" t="inlineStr">
        <is>
          <t xml:space="preserve">Responsable Qualité </t>
        </is>
      </c>
      <c r="J39" s="55" t="inlineStr">
        <is>
          <t>Copromer</t>
        </is>
      </c>
      <c r="K39" s="59" t="inlineStr">
        <is>
          <t>21/07/2026 11h30</t>
        </is>
      </c>
      <c r="L39" s="55" t="inlineStr">
        <is>
          <t>Boulogne-sur-Mer</t>
        </is>
      </c>
      <c r="M39" s="55" t="inlineStr">
        <is>
          <t>2-4°C</t>
        </is>
      </c>
      <c r="N39" s="59" t="inlineStr">
        <is>
          <t>21/07/2026 11h45</t>
        </is>
      </c>
      <c r="O39" s="55" t="inlineStr">
        <is>
          <t>2-4°C</t>
        </is>
      </c>
      <c r="P39" s="59" t="inlineStr">
        <is>
          <t>21/07/2026 12h30</t>
        </is>
      </c>
      <c r="Q39" s="60" t="inlineStr">
        <is>
          <t>DEMARNE</t>
        </is>
      </c>
      <c r="R39" s="61" t="inlineStr">
        <is>
          <t>2 X 200gr</t>
        </is>
      </c>
      <c r="S39" s="55" t="inlineStr">
        <is>
          <t xml:space="preserve"> Gadus morhua</t>
        </is>
      </c>
      <c r="T39" s="68" t="inlineStr">
        <is>
          <t>FR62.160.025CE</t>
        </is>
      </c>
      <c r="U39" s="55" t="inlineStr">
        <is>
          <t>FAO27</t>
        </is>
      </c>
      <c r="V39" s="61" t="n">
        <v>1183981</v>
      </c>
      <c r="Y39" s="59" t="n">
        <v>46231</v>
      </c>
      <c r="Z39" s="55" t="n">
        <v>100626</v>
      </c>
      <c r="AA39" s="66" t="n">
        <v>0</v>
      </c>
      <c r="AB39" s="66" t="n">
        <v>0.7066069428891378</v>
      </c>
      <c r="AC39" t="inlineStr">
        <is>
          <t>non conforme(s) au(x) critère(s)</t>
        </is>
      </c>
      <c r="AD39" s="67" t="inlineStr">
        <is>
          <t>nc</t>
        </is>
      </c>
    </row>
    <row r="40" customFormat="1" s="55">
      <c r="C40" s="56" t="n">
        <v>8</v>
      </c>
      <c r="D40" s="59" t="n">
        <v>46225</v>
      </c>
      <c r="E40" s="60" t="inlineStr">
        <is>
          <t>DOS CABIL SKIN P/ANE P/ANE X200G X6UV</t>
        </is>
      </c>
      <c r="F40" s="58" t="inlineStr">
        <is>
          <t>SCAPMAREE</t>
        </is>
      </c>
      <c r="G40" s="57" t="inlineStr">
        <is>
          <t>5 rue Marcelin Berthelot, 91320 WISSOUS Cedex</t>
        </is>
      </c>
      <c r="H40" s="55" t="inlineStr">
        <is>
          <t xml:space="preserve"> M. Adrien CAGNA</t>
        </is>
      </c>
      <c r="I40" s="55" t="inlineStr">
        <is>
          <t xml:space="preserve">Responsable Qualité </t>
        </is>
      </c>
      <c r="J40" s="55" t="inlineStr">
        <is>
          <t>Copromer</t>
        </is>
      </c>
      <c r="K40" s="59" t="inlineStr">
        <is>
          <t>21/07/2026 11h30</t>
        </is>
      </c>
      <c r="L40" s="55" t="inlineStr">
        <is>
          <t>Boulogne-sur-Mer</t>
        </is>
      </c>
      <c r="M40" s="55" t="inlineStr">
        <is>
          <t>2-4°C</t>
        </is>
      </c>
      <c r="N40" s="59" t="inlineStr">
        <is>
          <t>21/07/2026 11h45</t>
        </is>
      </c>
      <c r="O40" s="55" t="inlineStr">
        <is>
          <t>2-4°C</t>
        </is>
      </c>
      <c r="P40" s="59" t="inlineStr">
        <is>
          <t>21/07/2026 12h30</t>
        </is>
      </c>
      <c r="Q40" s="60" t="inlineStr">
        <is>
          <t>DEMARNE</t>
        </is>
      </c>
      <c r="R40" s="61" t="inlineStr">
        <is>
          <t>2 X 200gr</t>
        </is>
      </c>
      <c r="S40" s="55" t="inlineStr">
        <is>
          <t xml:space="preserve"> Gadus morhua</t>
        </is>
      </c>
      <c r="T40" s="68" t="inlineStr">
        <is>
          <t>FR62.160.025CE</t>
        </is>
      </c>
      <c r="U40" s="55" t="inlineStr">
        <is>
          <t>FAO27</t>
        </is>
      </c>
      <c r="V40" s="61" t="n">
        <v>1182980</v>
      </c>
      <c r="Y40" s="59" t="n">
        <v>46231</v>
      </c>
      <c r="Z40" s="55" t="n">
        <v>100626</v>
      </c>
      <c r="AA40" s="66" t="n">
        <v>0.08013355592654424</v>
      </c>
      <c r="AB40" s="66" t="n">
        <v>0.167779632721202</v>
      </c>
      <c r="AC40" t="inlineStr">
        <is>
          <t>conforme(s) au(x) critère(s)</t>
        </is>
      </c>
      <c r="AD40" s="67" t="inlineStr">
        <is>
          <t>A+</t>
        </is>
      </c>
    </row>
    <row r="41" customFormat="1" s="55">
      <c r="C41" s="56" t="n"/>
    </row>
    <row r="42" customFormat="1" s="55">
      <c r="C42" s="5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23" sqref="B23"/>
    </sheetView>
  </sheetViews>
  <sheetFormatPr baseColWidth="10" defaultColWidth="9.140625" defaultRowHeight="15"/>
  <cols>
    <col width="33.28515625" customWidth="1" min="1" max="1"/>
    <col width="19.28515625" customWidth="1" min="2" max="2"/>
  </cols>
  <sheetData>
    <row r="1" customFormat="1" s="16">
      <c r="A1" s="16" t="inlineStr">
        <is>
          <t>Nom Latin</t>
        </is>
      </c>
      <c r="B1" s="16" t="inlineStr">
        <is>
          <t>Nom Français</t>
        </is>
      </c>
    </row>
    <row r="2">
      <c r="A2" t="inlineStr">
        <is>
          <t>Gadus morhua</t>
        </is>
      </c>
      <c r="B2" t="inlineStr">
        <is>
          <t>CABILLAUD</t>
        </is>
      </c>
    </row>
    <row r="3">
      <c r="A3" t="inlineStr">
        <is>
          <t>Pollachus virens</t>
        </is>
      </c>
      <c r="B3" t="inlineStr">
        <is>
          <t>LIEU NOIR</t>
        </is>
      </c>
    </row>
    <row r="4">
      <c r="A4" t="inlineStr">
        <is>
          <t>Merluccius merluccius</t>
        </is>
      </c>
      <c r="B4" t="inlineStr">
        <is>
          <t>MERLU</t>
        </is>
      </c>
    </row>
    <row r="5">
      <c r="A5" t="inlineStr">
        <is>
          <t>Merlangius merlangius</t>
        </is>
      </c>
      <c r="B5" t="inlineStr">
        <is>
          <t>MERLAN</t>
        </is>
      </c>
    </row>
    <row r="6">
      <c r="A6" t="inlineStr">
        <is>
          <t>Melanogrammus aeglefinus</t>
        </is>
      </c>
      <c r="B6" t="inlineStr">
        <is>
          <t>EGLEFIN</t>
        </is>
      </c>
    </row>
    <row r="7">
      <c r="A7" t="inlineStr">
        <is>
          <t>Molva dipterygia</t>
        </is>
      </c>
      <c r="B7" t="inlineStr">
        <is>
          <t>LINGUE BLEUE</t>
        </is>
      </c>
    </row>
    <row r="8">
      <c r="A8" t="inlineStr">
        <is>
          <t>Molva molva</t>
        </is>
      </c>
      <c r="B8" t="inlineStr">
        <is>
          <t>JULIENNE</t>
        </is>
      </c>
    </row>
    <row r="9">
      <c r="A9" t="inlineStr">
        <is>
          <t>Reinhardtius hippoglossoides</t>
        </is>
      </c>
      <c r="B9" t="inlineStr">
        <is>
          <t>FLETAN NOIR</t>
        </is>
      </c>
    </row>
    <row r="10">
      <c r="A10" t="inlineStr">
        <is>
          <t>Pleuronectes platessa</t>
        </is>
      </c>
      <c r="B10" t="inlineStr">
        <is>
          <t>CARRELET</t>
        </is>
      </c>
    </row>
    <row r="11">
      <c r="A11" t="inlineStr">
        <is>
          <t>Sebastes marinus</t>
        </is>
      </c>
      <c r="B11" t="inlineStr">
        <is>
          <t>SEBASTE</t>
        </is>
      </c>
    </row>
    <row r="12">
      <c r="A12" t="inlineStr">
        <is>
          <t>Sardina pilchardus</t>
        </is>
      </c>
      <c r="B12" t="inlineStr">
        <is>
          <t>SARDINE</t>
        </is>
      </c>
    </row>
    <row r="13">
      <c r="A13" t="inlineStr">
        <is>
          <t>Thunnus albacares</t>
        </is>
      </c>
      <c r="B13" t="inlineStr">
        <is>
          <t>Thon albacore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F43" sqref="F43"/>
    </sheetView>
  </sheetViews>
  <sheetFormatPr baseColWidth="10" defaultColWidth="9.140625" defaultRowHeight="15"/>
  <cols>
    <col width="34.85546875" customWidth="1" min="1" max="1"/>
    <col width="21.5703125" customWidth="1" min="2" max="2"/>
  </cols>
  <sheetData>
    <row r="1" customFormat="1" s="70">
      <c r="A1" s="70" t="inlineStr">
        <is>
          <t>Fournisseur</t>
        </is>
      </c>
      <c r="B1" s="70" t="inlineStr">
        <is>
          <t>Numero agrement</t>
        </is>
      </c>
    </row>
    <row r="2">
      <c r="A2" t="inlineStr">
        <is>
          <t>ADRI &amp; ZOON (PRESTATIONS)</t>
        </is>
      </c>
      <c r="B2" t="inlineStr">
        <is>
          <t>NL6144</t>
        </is>
      </c>
    </row>
    <row r="3">
      <c r="A3" t="inlineStr">
        <is>
          <t>BOULOGNE SEAFOOD MDD</t>
        </is>
      </c>
      <c r="B3" t="inlineStr">
        <is>
          <t>FR62.160.254CE</t>
        </is>
      </c>
    </row>
    <row r="4">
      <c r="A4" t="inlineStr">
        <is>
          <t>DEMARNE BOULOGNE</t>
        </is>
      </c>
      <c r="B4" t="inlineStr">
        <is>
          <t>FR62.160.025CE</t>
        </is>
      </c>
    </row>
    <row r="5">
      <c r="A5" t="inlineStr">
        <is>
          <t>FONFISK</t>
        </is>
      </c>
      <c r="B5" t="inlineStr">
        <is>
          <t>1641EF</t>
        </is>
      </c>
    </row>
    <row r="6">
      <c r="A6" t="inlineStr">
        <is>
          <t>FRAIS EMBAL MDD</t>
        </is>
      </c>
      <c r="B6" t="inlineStr">
        <is>
          <t>FR62.160.205</t>
        </is>
      </c>
    </row>
    <row r="7">
      <c r="A7" t="inlineStr">
        <is>
          <t>ICEFRESH SEAFOOD</t>
        </is>
      </c>
      <c r="B7" t="inlineStr">
        <is>
          <t>ISA676EFTA</t>
        </is>
      </c>
    </row>
    <row r="8">
      <c r="A8" t="inlineStr">
        <is>
          <t>JACK TAYLOR</t>
        </is>
      </c>
      <c r="B8" t="inlineStr">
        <is>
          <t>GB BB006</t>
        </is>
      </c>
    </row>
    <row r="9">
      <c r="A9" t="inlineStr">
        <is>
          <t>LASSALLE FILETS (PRESTATIONS)</t>
        </is>
      </c>
      <c r="B9" t="inlineStr">
        <is>
          <t>FR62.667.900CE</t>
        </is>
      </c>
    </row>
    <row r="10">
      <c r="A10" t="inlineStr">
        <is>
          <t>LEO FRESH</t>
        </is>
      </c>
      <c r="B10" t="inlineStr">
        <is>
          <t>ISA443 EFTA</t>
        </is>
      </c>
    </row>
    <row r="11">
      <c r="A11" t="inlineStr">
        <is>
          <t>LES PRODUITS COTIERS</t>
        </is>
      </c>
      <c r="B11" t="inlineStr">
        <is>
          <t>FR62.160.294CE</t>
        </is>
      </c>
    </row>
    <row r="12">
      <c r="A12" t="inlineStr">
        <is>
          <t>MJ FRENCH FISH (JACK TAYLOR)</t>
        </is>
      </c>
      <c r="B12" t="inlineStr">
        <is>
          <t>GB BB006</t>
        </is>
      </c>
    </row>
    <row r="13">
      <c r="A13" t="inlineStr">
        <is>
          <t>MONDO MAR</t>
        </is>
      </c>
      <c r="B13" t="inlineStr">
        <is>
          <t>DK1103EC</t>
        </is>
      </c>
    </row>
    <row r="14">
      <c r="A14" t="inlineStr">
        <is>
          <t>NOLAN SEAFOOD LTD</t>
        </is>
      </c>
      <c r="B14" t="inlineStr">
        <is>
          <t>GB AA107</t>
        </is>
      </c>
    </row>
    <row r="15">
      <c r="A15" t="inlineStr">
        <is>
          <t>NORDIC GROUP</t>
        </is>
      </c>
      <c r="B15" t="inlineStr">
        <is>
          <t>Norge F-162 EFTA</t>
        </is>
      </c>
    </row>
    <row r="16">
      <c r="A16" t="inlineStr">
        <is>
          <t>NORDVIK</t>
        </is>
      </c>
      <c r="B16" t="inlineStr">
        <is>
          <t>ISA676</t>
        </is>
      </c>
    </row>
    <row r="17">
      <c r="A17" t="inlineStr">
        <is>
          <t>PECHERIES DES HAUTS DE FRANCE</t>
        </is>
      </c>
      <c r="B17" t="inlineStr">
        <is>
          <t>FR62.160.645</t>
        </is>
      </c>
    </row>
    <row r="18">
      <c r="A18" t="inlineStr">
        <is>
          <t>SEAFOODS ECOSSE</t>
        </is>
      </c>
      <c r="B18" t="inlineStr">
        <is>
          <t>GB BB009</t>
        </is>
      </c>
    </row>
    <row r="19">
      <c r="A19" t="inlineStr">
        <is>
          <t>SN DOLLEANS</t>
        </is>
      </c>
      <c r="B19" t="inlineStr">
        <is>
          <t>FR62.667.126UE</t>
        </is>
      </c>
    </row>
    <row r="20">
      <c r="A20" t="inlineStr">
        <is>
          <t>STORMAR</t>
        </is>
      </c>
      <c r="B20" t="inlineStr">
        <is>
          <t>ISH476 EFTA</t>
        </is>
      </c>
    </row>
    <row r="21">
      <c r="A21" t="inlineStr">
        <is>
          <t>UNI-MAREE</t>
        </is>
      </c>
      <c r="B21" t="inlineStr">
        <is>
          <t>FR62.160.502CE</t>
        </is>
      </c>
    </row>
    <row r="22">
      <c r="A22" t="inlineStr">
        <is>
          <t>URK EXPORT</t>
        </is>
      </c>
      <c r="B22" t="inlineStr">
        <is>
          <t>NL6021EG</t>
        </is>
      </c>
    </row>
    <row r="23">
      <c r="A23" t="inlineStr">
        <is>
          <t>VARIA</t>
        </is>
      </c>
      <c r="B23" t="inlineStr">
        <is>
          <t>NL220684EG</t>
        </is>
      </c>
    </row>
    <row r="24">
      <c r="A24" t="inlineStr">
        <is>
          <t>VSV</t>
        </is>
      </c>
      <c r="B24" t="inlineStr">
        <is>
          <t>FR62.160.667CE</t>
        </is>
      </c>
    </row>
    <row r="25">
      <c r="A25" t="inlineStr">
        <is>
          <t>WHITELINK SEAFOODS LTDI</t>
        </is>
      </c>
      <c r="B25" t="inlineStr">
        <is>
          <t>GB BB027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selection activeCell="D1" sqref="D1"/>
    </sheetView>
  </sheetViews>
  <sheetFormatPr baseColWidth="10" defaultRowHeight="15"/>
  <cols>
    <col width="31.140625" customWidth="1" min="1" max="1"/>
    <col width="42.85546875" customWidth="1" min="2" max="2"/>
    <col width="46.28515625" customWidth="1" min="3" max="3"/>
  </cols>
  <sheetData>
    <row r="1" customFormat="1" s="16">
      <c r="A1" s="70" t="inlineStr">
        <is>
          <t>Espace</t>
        </is>
      </c>
      <c r="B1" s="70" t="inlineStr">
        <is>
          <t>Critere</t>
        </is>
      </c>
      <c r="E1" t="inlineStr">
        <is>
          <t>numero rapport</t>
        </is>
      </c>
      <c r="F1" t="inlineStr">
        <is>
          <t>nom rapport generé</t>
        </is>
      </c>
    </row>
    <row r="2" ht="90" customHeight="1">
      <c r="A2" t="inlineStr">
        <is>
          <t>Cabillaud</t>
        </is>
      </c>
      <c r="B2" s="71" t="inlineStr">
        <is>
          <t>Extra IMP&gt;5% Hx &lt;18%  
A+: IMP 0% Hx 15-20%
A: IMP 0% Hx 21-26%
A-: IMP 0% Hx 27-36%
B:  IMP 0% Hx 40-50% 
nc: IMP 0% Hx&gt;50% (eq ABVT&gt;35mgN/100g)</t>
        </is>
      </c>
    </row>
    <row r="3" ht="90" customHeight="1">
      <c r="A3" t="inlineStr">
        <is>
          <t>Lieu noir</t>
        </is>
      </c>
      <c r="B3" s="71" t="inlineStr">
        <is>
          <t>Extra IMP&gt;5% Hx &lt;18%  
A+: IMP 0% Hx 15-20%
A: IMP 0% Hx 21-26%
A-: IMP 0% Hx 27-36%
B:  IMP 0% Hx 40-50% 
nc: IMP 0% Hx&gt;50% (eq ABVT&gt;35mgN/100g)</t>
        </is>
      </c>
    </row>
    <row r="4" ht="90" customHeight="1">
      <c r="A4" t="inlineStr">
        <is>
          <t>Merlan</t>
        </is>
      </c>
      <c r="B4" s="71" t="inlineStr">
        <is>
          <t>Extra IMP&gt;5% Hx &lt;18%  
A+: IMP 0% Hx 15-20%
A: IMP 0% Hx 21-26%
A-: IMP 0% Hx 27-36%
B:  IMP 0% Hx 40-50% 
nc: IMP 0% Hx&gt;50% (eq ABVT&gt;35mgN/100g)</t>
        </is>
      </c>
    </row>
    <row r="5" ht="60" customHeight="1">
      <c r="A5" t="inlineStr">
        <is>
          <t>Thon</t>
        </is>
      </c>
      <c r="B5" s="71" t="inlineStr">
        <is>
          <t>Sashimi : IMP &gt;90% /K-value &lt;10%
Extra : IMP 65-90%  K-value 10-35%
A: IMP 40-65%/ K-value 35-60%
B: IMP &lt;40% / K-value &gt;60%</t>
        </is>
      </c>
    </row>
    <row r="6" ht="60" customHeight="1">
      <c r="A6" t="inlineStr">
        <is>
          <t>Thon albacore</t>
        </is>
      </c>
      <c r="B6" s="71" t="inlineStr">
        <is>
          <t>Sashimi : IMP &gt;90% /K-value &lt;10%
Extra : IMP 65-90%  K-value 10-35%
A: IMP 40-65%/ K-value 35-60%
B: IMP &lt;40% / K-value &gt;60%</t>
        </is>
      </c>
    </row>
    <row r="7" ht="90" customHeight="1">
      <c r="A7" t="inlineStr">
        <is>
          <t>Eglefin</t>
        </is>
      </c>
      <c r="B7" s="71" t="inlineStr">
        <is>
          <t>Extra IMP&gt;60% Hx &lt;12%  
A+: IMP 40-59% Hx 12-19%
A: IMP 30-50% Hx 20-25%
A-: IMP 21-40% Hx 26-36%
B:  IMP &lt;20% Hx 36-55% 
nc: IMP 0% Hx&gt;60% (eq ABVT&gt;35mgN/100g)</t>
        </is>
      </c>
    </row>
    <row r="35">
      <c r="C35" t="inlineStr">
        <is>
          <t>260722-3</t>
        </is>
      </c>
      <c r="D35" t="inlineStr">
        <is>
          <t>NOVOCIB Rapport d'essai 260722-3.docx</t>
        </is>
      </c>
      <c r="E35" t="inlineStr">
        <is>
          <t>260722-3</t>
        </is>
      </c>
      <c r="F35" t="inlineStr">
        <is>
          <t>NOVOCIB Rapport d'essai 260722-3.docx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Balak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2026-07-23T12:20:42Z</dcterms:modified>
  <cp:lastModifiedBy>Alex Balak</cp:lastModifiedBy>
</cp:coreProperties>
</file>