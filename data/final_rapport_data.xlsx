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00CC"/>
      <sz val="11"/>
    </font>
    <font>
      <name val="Arial"/>
      <family val="2"/>
      <sz val="11"/>
    </font>
    <font>
      <name val="Calibri"/>
      <family val="2"/>
      <color rgb="FF000000"/>
      <sz val="11"/>
    </font>
    <font>
      <name val="Arial"/>
      <family val="2"/>
      <color rgb="FF222222"/>
      <sz val="11"/>
    </font>
    <font>
      <name val="Calibri"/>
      <family val="2"/>
      <b val="1"/>
      <color rgb="FF000000"/>
      <sz val="11"/>
    </font>
    <font>
      <name val="Arial"/>
      <family val="2"/>
      <b val="1"/>
      <color rgb="FF0000CC"/>
      <sz val="11"/>
    </font>
    <font>
      <name val="Arial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3" fillId="0" borderId="0"/>
    <xf numFmtId="9" fontId="3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vertical="center"/>
    </xf>
    <xf numFmtId="14" fontId="7" fillId="2" borderId="1" applyAlignment="1" pivotButton="0" quotePrefix="0" xfId="0">
      <alignment horizontal="right" vertical="center"/>
    </xf>
    <xf numFmtId="14" fontId="7" fillId="2" borderId="1" applyAlignment="1" pivotButton="0" quotePrefix="0" xfId="0">
      <alignment vertical="center"/>
    </xf>
    <xf numFmtId="0" fontId="8" fillId="2" borderId="2" pivotButton="0" quotePrefix="0" xfId="0"/>
    <xf numFmtId="9" fontId="5" fillId="0" borderId="1" applyAlignment="1" pivotButton="0" quotePrefix="0" xfId="1">
      <alignment horizontal="center"/>
    </xf>
    <xf numFmtId="9" fontId="6" fillId="0" borderId="1" pivotButton="0" quotePrefix="0" xfId="0"/>
    <xf numFmtId="0" fontId="7" fillId="3" borderId="1" applyAlignment="1" pivotButton="0" quotePrefix="0" xfId="0">
      <alignment vertical="center"/>
    </xf>
    <xf numFmtId="14" fontId="7" fillId="3" borderId="1" applyAlignment="1" pivotButton="0" quotePrefix="0" xfId="0">
      <alignment vertical="center"/>
    </xf>
    <xf numFmtId="0" fontId="7" fillId="3" borderId="2" applyAlignment="1" pivotButton="0" quotePrefix="0" xfId="0">
      <alignment horizontal="right" vertical="center"/>
    </xf>
    <xf numFmtId="9" fontId="5" fillId="3" borderId="1" applyAlignment="1" pivotButton="0" quotePrefix="0" xfId="1">
      <alignment horizontal="center"/>
    </xf>
    <xf numFmtId="14" fontId="7" fillId="3" borderId="1" applyAlignment="1" pivotButton="0" quotePrefix="0" xfId="0">
      <alignment horizontal="right" vertical="center"/>
    </xf>
    <xf numFmtId="164" fontId="5" fillId="0" borderId="1" applyAlignment="1" pivotButton="0" quotePrefix="0" xfId="1">
      <alignment horizontal="center"/>
    </xf>
    <xf numFmtId="164" fontId="6" fillId="0" borderId="1" pivotButton="0" quotePrefix="0" xfId="0"/>
    <xf numFmtId="0" fontId="6" fillId="0" borderId="1" pivotButton="0" quotePrefix="0" xfId="0"/>
    <xf numFmtId="0" fontId="7" fillId="2" borderId="3" applyAlignment="1" pivotButton="0" quotePrefix="0" xfId="0">
      <alignment horizontal="right" vertical="center"/>
    </xf>
    <xf numFmtId="0" fontId="7" fillId="2" borderId="3" applyAlignment="1" pivotButton="0" quotePrefix="0" xfId="0">
      <alignment vertical="center"/>
    </xf>
    <xf numFmtId="14" fontId="7" fillId="2" borderId="3" applyAlignment="1" pivotButton="0" quotePrefix="0" xfId="0">
      <alignment horizontal="right" vertical="center"/>
    </xf>
    <xf numFmtId="9" fontId="5" fillId="0" borderId="3" applyAlignment="1" pivotButton="0" quotePrefix="0" xfId="1">
      <alignment horizontal="center"/>
    </xf>
    <xf numFmtId="0" fontId="8" fillId="2" borderId="1" pivotButton="0" quotePrefix="0" xfId="0"/>
    <xf numFmtId="0" fontId="7" fillId="2" borderId="1" applyAlignment="1" pivotButton="0" quotePrefix="0" xfId="0">
      <alignment horizontal="left" vertical="center"/>
    </xf>
    <xf numFmtId="9" fontId="0" fillId="0" borderId="0" pivotButton="0" quotePrefix="0" xfId="0"/>
    <xf numFmtId="16" fontId="0" fillId="0" borderId="0" pivotButton="0" quotePrefix="0" xfId="0"/>
    <xf numFmtId="0" fontId="4" fillId="0" borderId="0" pivotButton="0" quotePrefix="0" xfId="0"/>
    <xf numFmtId="0" fontId="9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10" fillId="0" borderId="1" applyAlignment="1" pivotButton="0" quotePrefix="0" xfId="1">
      <alignment horizontal="center"/>
    </xf>
    <xf numFmtId="9" fontId="4" fillId="0" borderId="0" pivotButton="0" quotePrefix="0" xfId="0"/>
    <xf numFmtId="164" fontId="11" fillId="0" borderId="1" pivotButton="0" quotePrefix="0" xfId="0"/>
    <xf numFmtId="0" fontId="2" fillId="0" borderId="0" applyAlignment="1" pivotButton="0" quotePrefix="0" xfId="0">
      <alignment vertical="center" wrapText="1"/>
    </xf>
    <xf numFmtId="14" fontId="4" fillId="0" borderId="0" pivotButton="0" quotePrefix="0" xfId="0"/>
    <xf numFmtId="0" fontId="7" fillId="2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8" fillId="2" borderId="4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7" fillId="2" borderId="5" applyAlignment="1" pivotButton="0" quotePrefix="0" xfId="0">
      <alignment vertical="center"/>
    </xf>
    <xf numFmtId="0" fontId="7" fillId="3" borderId="5" applyAlignment="1" pivotButton="0" quotePrefix="0" xfId="0">
      <alignment vertical="center"/>
    </xf>
    <xf numFmtId="0" fontId="7" fillId="2" borderId="6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tabSelected="1" zoomScale="70" zoomScaleNormal="70" workbookViewId="0">
      <selection activeCell="D31" sqref="D31"/>
    </sheetView>
  </sheetViews>
  <sheetFormatPr baseColWidth="10" defaultColWidth="20.7109375" defaultRowHeight="15"/>
  <cols>
    <col width="36.5703125" customWidth="1" min="1" max="1"/>
    <col width="20.7109375" customWidth="1" min="2" max="2"/>
    <col width="20.7109375" customWidth="1" style="43" min="3" max="3"/>
    <col width="35" customWidth="1" min="5" max="5"/>
    <col width="32.7109375" customWidth="1" min="6" max="6"/>
    <col width="53.140625" customWidth="1" min="7" max="7"/>
    <col width="29.85546875" customWidth="1" min="8" max="8"/>
    <col width="28.85546875" customWidth="1" min="9" max="9"/>
    <col width="47" customWidth="1" min="10" max="10"/>
    <col width="28.140625" customWidth="1" min="11" max="11"/>
    <col width="30" customWidth="1" min="12" max="12"/>
    <col width="26.140625" customWidth="1" min="13" max="13"/>
    <col width="26.42578125" customWidth="1" min="14" max="14"/>
    <col width="23.140625" customWidth="1" min="15" max="15"/>
    <col width="29.5703125" customWidth="1" min="18" max="18"/>
    <col width="17.28515625" customWidth="1" min="26" max="26"/>
  </cols>
  <sheetData>
    <row r="1" ht="35.1" customHeight="1">
      <c r="A1" s="1" t="inlineStr">
        <is>
          <t>nom rapport generé</t>
        </is>
      </c>
      <c r="B1" s="1" t="inlineStr">
        <is>
          <t>numero rapport</t>
        </is>
      </c>
      <c r="C1" s="1" t="inlineStr">
        <is>
          <t>numero echantillon</t>
        </is>
      </c>
      <c r="D1" s="1" t="inlineStr">
        <is>
          <t>date rapport</t>
        </is>
      </c>
      <c r="E1" s="1" t="inlineStr">
        <is>
          <t>appellation produit</t>
        </is>
      </c>
      <c r="F1" s="1" t="inlineStr">
        <is>
          <t>nom entreprise client</t>
        </is>
      </c>
      <c r="G1" s="1" t="inlineStr">
        <is>
          <t>adresse entreprise client</t>
        </is>
      </c>
      <c r="H1" s="1" t="inlineStr">
        <is>
          <t>nom destinataire</t>
        </is>
      </c>
      <c r="I1" s="1" t="inlineStr">
        <is>
          <t>titre poste destinataire</t>
        </is>
      </c>
      <c r="J1" s="1" t="inlineStr">
        <is>
          <t>Lieu de prelevment</t>
        </is>
      </c>
      <c r="K1" s="1" t="inlineStr">
        <is>
          <t>date heure prelevment</t>
        </is>
      </c>
      <c r="L1" s="1" t="inlineStr">
        <is>
          <t>adresse prelevement</t>
        </is>
      </c>
      <c r="M1" s="1" t="inlineStr">
        <is>
          <t>ville prelevement</t>
        </is>
      </c>
      <c r="N1" s="1" t="inlineStr">
        <is>
          <t>conditions coservation reception</t>
        </is>
      </c>
      <c r="O1" s="1" t="inlineStr">
        <is>
          <t>date heure arrive labo</t>
        </is>
      </c>
      <c r="P1" s="1" t="inlineStr">
        <is>
          <t>temperature reception</t>
        </is>
      </c>
      <c r="Q1" s="1" t="inlineStr">
        <is>
          <t>date heure mise en analyse</t>
        </is>
      </c>
      <c r="R1" s="1" t="inlineStr">
        <is>
          <t>fournisseur fabricant</t>
        </is>
      </c>
      <c r="S1" s="1" t="inlineStr">
        <is>
          <t>nom produit</t>
        </is>
      </c>
      <c r="T1" s="1" t="inlineStr">
        <is>
          <t>conditionnement</t>
        </is>
      </c>
      <c r="U1" s="41" t="inlineStr">
        <is>
          <t>espece</t>
        </is>
      </c>
      <c r="V1" s="1" t="inlineStr">
        <is>
          <t>agrement</t>
        </is>
      </c>
      <c r="W1" s="1" t="inlineStr">
        <is>
          <t>origine</t>
        </is>
      </c>
      <c r="X1" s="1" t="inlineStr">
        <is>
          <t>lot</t>
        </is>
      </c>
      <c r="Y1" s="1" t="inlineStr">
        <is>
          <t>date emabalage</t>
        </is>
      </c>
      <c r="Z1" s="1" t="inlineStr">
        <is>
          <t>code article</t>
        </is>
      </c>
      <c r="AA1" s="1" t="inlineStr">
        <is>
          <t>dlc</t>
        </is>
      </c>
      <c r="AB1" s="1" t="inlineStr">
        <is>
          <t>lot precice</t>
        </is>
      </c>
      <c r="AC1" s="1" t="inlineStr">
        <is>
          <t>imp</t>
        </is>
      </c>
      <c r="AD1" s="1" t="inlineStr">
        <is>
          <t>k value</t>
        </is>
      </c>
      <c r="AE1" s="1" t="inlineStr">
        <is>
          <t>conformite</t>
        </is>
      </c>
      <c r="AF1" s="1" t="inlineStr">
        <is>
          <t>qualite</t>
        </is>
      </c>
    </row>
    <row r="2">
      <c r="A2" s="24" t="inlineStr">
        <is>
          <t>NOVOCIB Rapport d'essai 260621-1</t>
        </is>
      </c>
      <c r="B2" t="inlineStr">
        <is>
          <t>260621-1</t>
        </is>
      </c>
      <c r="C2" s="43" t="n">
        <v>1</v>
      </c>
      <c r="D2" s="24" t="n">
        <v>46194</v>
      </c>
      <c r="E2" s="3" t="inlineStr">
        <is>
          <t>Thon frais naturel 1</t>
        </is>
      </c>
      <c r="F2" s="31" t="inlineStr">
        <is>
          <t>Comptoirs Océaniques</t>
        </is>
      </c>
      <c r="G2" s="31" t="inlineStr">
        <is>
          <t>7 rue Gustave Serruier, 76620 Le Havre</t>
        </is>
      </c>
      <c r="H2" s="31" t="inlineStr">
        <is>
          <t>Adeline Levasseur</t>
        </is>
      </c>
      <c r="I2" s="31" t="inlineStr">
        <is>
          <t>Directrice qualité</t>
        </is>
      </c>
      <c r="J2" s="31" t="inlineStr">
        <is>
          <t>Comptoir Océanique</t>
        </is>
      </c>
      <c r="K2" s="31" t="inlineStr">
        <is>
          <t>04/06/2026 12h</t>
        </is>
      </c>
      <c r="L2" s="31" t="inlineStr">
        <is>
          <t>10 Rue de Marengo</t>
        </is>
      </c>
      <c r="M2" s="31" t="inlineStr">
        <is>
          <t>Boulogne-sur-Mer</t>
        </is>
      </c>
      <c r="N2" s="31" t="inlineStr">
        <is>
          <t>glace</t>
        </is>
      </c>
      <c r="O2" s="31" t="inlineStr">
        <is>
          <t>04/06/2026 12h15</t>
        </is>
      </c>
      <c r="P2" s="31" t="inlineStr">
        <is>
          <t>4°C</t>
        </is>
      </c>
      <c r="Q2" s="31" t="inlineStr">
        <is>
          <t>04/06/2026 14h</t>
        </is>
      </c>
      <c r="R2" s="3" t="inlineStr">
        <is>
          <t>big fish</t>
        </is>
      </c>
      <c r="S2" s="3" t="inlineStr">
        <is>
          <t>100% thon</t>
        </is>
      </c>
      <c r="T2" s="33" t="inlineStr">
        <is>
          <t>1.8kg</t>
        </is>
      </c>
      <c r="U2" s="42" t="inlineStr">
        <is>
          <t>Thunnus albacares</t>
        </is>
      </c>
      <c r="V2" s="38" t="inlineStr">
        <is>
          <t>FAO 51</t>
        </is>
      </c>
      <c r="W2" s="3" t="inlineStr">
        <is>
          <t>Maldives FAO51</t>
        </is>
      </c>
      <c r="X2" s="3" t="n">
        <v>31052026</v>
      </c>
      <c r="Y2" s="4" t="n">
        <v>46173</v>
      </c>
      <c r="Z2" s="6" t="n"/>
      <c r="AA2" s="4" t="n">
        <v>46187</v>
      </c>
      <c r="AB2" t="n">
        <v>230426</v>
      </c>
      <c r="AC2" s="7" t="n">
        <v>0.738026819923372</v>
      </c>
      <c r="AD2" s="23">
        <f>1-AC2</f>
        <v/>
      </c>
      <c r="AE2" t="inlineStr">
        <is>
          <t>conforme(s) au(x) critère(s)</t>
        </is>
      </c>
      <c r="AF2" s="8" t="inlineStr">
        <is>
          <t>Extra</t>
        </is>
      </c>
    </row>
    <row r="3">
      <c r="A3" s="24" t="n"/>
      <c r="C3" s="43" t="n">
        <v>11</v>
      </c>
      <c r="D3" s="24" t="n">
        <v>46194</v>
      </c>
      <c r="E3" s="9" t="inlineStr">
        <is>
          <t>Thon décongelé 11</t>
        </is>
      </c>
      <c r="F3" s="31" t="inlineStr">
        <is>
          <t>Comptoirs Océaniques</t>
        </is>
      </c>
      <c r="G3" s="31" t="inlineStr">
        <is>
          <t>7 rue Gustave Serruier, 76620 Le Havre</t>
        </is>
      </c>
      <c r="H3" s="31" t="inlineStr">
        <is>
          <t>Adeline Levasseur</t>
        </is>
      </c>
      <c r="I3" s="31" t="inlineStr">
        <is>
          <t>Directrice qualité</t>
        </is>
      </c>
      <c r="J3" s="31" t="inlineStr">
        <is>
          <t>Comptoir Océanique</t>
        </is>
      </c>
      <c r="K3" s="31" t="inlineStr">
        <is>
          <t>04/06/2026 12h</t>
        </is>
      </c>
      <c r="L3" s="31" t="inlineStr">
        <is>
          <t>10 Rue de Marengo</t>
        </is>
      </c>
      <c r="M3" s="31" t="inlineStr">
        <is>
          <t>Boulogne-sur-Mer</t>
        </is>
      </c>
      <c r="N3" s="31" t="inlineStr">
        <is>
          <t>glace</t>
        </is>
      </c>
      <c r="O3" s="31" t="inlineStr">
        <is>
          <t>04/06/2026 12h15</t>
        </is>
      </c>
      <c r="P3" s="31" t="inlineStr">
        <is>
          <t>4°C</t>
        </is>
      </c>
      <c r="Q3" s="31" t="inlineStr">
        <is>
          <t>04/06/2026 14h</t>
        </is>
      </c>
      <c r="R3" s="9" t="inlineStr">
        <is>
          <t>dongwon</t>
        </is>
      </c>
      <c r="S3" s="9" t="inlineStr">
        <is>
          <t>100% thon</t>
        </is>
      </c>
      <c r="T3" s="34" t="n"/>
      <c r="U3" s="42" t="inlineStr">
        <is>
          <t>Thunnus albacares</t>
        </is>
      </c>
      <c r="V3" s="39" t="inlineStr">
        <is>
          <t>FAO 71</t>
        </is>
      </c>
      <c r="W3" s="9" t="inlineStr">
        <is>
          <t>Corée FAO71</t>
        </is>
      </c>
      <c r="X3" s="9" t="inlineStr">
        <is>
          <t>DW 2605</t>
        </is>
      </c>
      <c r="Y3" s="10" t="n">
        <v>46175</v>
      </c>
      <c r="Z3" s="11" t="n">
        <v>70947</v>
      </c>
      <c r="AA3" s="10" t="n">
        <v>46182</v>
      </c>
      <c r="AB3" t="n">
        <v>230426</v>
      </c>
      <c r="AC3" s="12" t="n">
        <v>0.84312606959498</v>
      </c>
      <c r="AD3" s="23">
        <f>1-AC3</f>
        <v/>
      </c>
      <c r="AE3" t="inlineStr">
        <is>
          <t>conforme(s) au(x) critère(s)</t>
        </is>
      </c>
      <c r="AF3" s="8" t="inlineStr">
        <is>
          <t>Sashimi</t>
        </is>
      </c>
    </row>
    <row r="4">
      <c r="A4" s="24" t="n"/>
      <c r="C4" s="43" t="n">
        <v>2</v>
      </c>
      <c r="D4" s="24" t="n">
        <v>46194</v>
      </c>
      <c r="E4" s="3" t="inlineStr">
        <is>
          <t>Thon frais naturel 2</t>
        </is>
      </c>
      <c r="F4" s="31" t="inlineStr">
        <is>
          <t>Comptoirs Océaniques</t>
        </is>
      </c>
      <c r="G4" s="31" t="inlineStr">
        <is>
          <t>7 rue Gustave Serruier, 76620 Le Havre</t>
        </is>
      </c>
      <c r="H4" s="31" t="inlineStr">
        <is>
          <t>Adeline Levasseur</t>
        </is>
      </c>
      <c r="I4" s="31" t="inlineStr">
        <is>
          <t>Directrice qualité</t>
        </is>
      </c>
      <c r="J4" s="31" t="inlineStr">
        <is>
          <t>Comptoir Océanique</t>
        </is>
      </c>
      <c r="K4" s="31" t="inlineStr">
        <is>
          <t>05/06/2026 12H</t>
        </is>
      </c>
      <c r="L4" s="31" t="inlineStr">
        <is>
          <t>10 Rue de Marengo</t>
        </is>
      </c>
      <c r="M4" s="31" t="inlineStr">
        <is>
          <t>Boulogne-sur-Mer</t>
        </is>
      </c>
      <c r="N4" s="31" t="inlineStr">
        <is>
          <t>glace</t>
        </is>
      </c>
      <c r="O4" s="31" t="inlineStr">
        <is>
          <t>05/06/2026 12H15</t>
        </is>
      </c>
      <c r="P4" s="31" t="inlineStr">
        <is>
          <t>4°C</t>
        </is>
      </c>
      <c r="Q4" s="31" t="inlineStr">
        <is>
          <t>05/06/2026 14h</t>
        </is>
      </c>
      <c r="R4" s="3" t="inlineStr">
        <is>
          <t>big fish</t>
        </is>
      </c>
      <c r="S4" s="3" t="inlineStr">
        <is>
          <t>100% thon</t>
        </is>
      </c>
      <c r="T4" s="33" t="inlineStr">
        <is>
          <t>2kg</t>
        </is>
      </c>
      <c r="U4" s="42" t="inlineStr">
        <is>
          <t>Thunnus albacares</t>
        </is>
      </c>
      <c r="V4" s="38" t="inlineStr">
        <is>
          <t>FAO 51</t>
        </is>
      </c>
      <c r="W4" s="3" t="inlineStr">
        <is>
          <t>Maldives FAO51</t>
        </is>
      </c>
      <c r="X4" s="3" t="n">
        <v>31052026</v>
      </c>
      <c r="Y4" s="4" t="n">
        <v>46173</v>
      </c>
      <c r="Z4" s="6" t="n"/>
      <c r="AA4" s="4" t="n">
        <v>46187</v>
      </c>
      <c r="AB4" t="n">
        <v>230426</v>
      </c>
      <c r="AC4" s="7" t="n">
        <v>0.626439659489234</v>
      </c>
      <c r="AD4" s="23">
        <f>1-AC4</f>
        <v/>
      </c>
      <c r="AE4" t="inlineStr">
        <is>
          <t>conforme(s) au(x) critère(s)</t>
        </is>
      </c>
      <c r="AF4" s="8" t="inlineStr">
        <is>
          <t>A+</t>
        </is>
      </c>
    </row>
    <row r="5">
      <c r="A5" s="24" t="n"/>
      <c r="C5" s="43" t="n">
        <v>12</v>
      </c>
      <c r="D5" s="24" t="n">
        <v>46194</v>
      </c>
      <c r="E5" s="9" t="inlineStr">
        <is>
          <t>Thon décongelé 12</t>
        </is>
      </c>
      <c r="F5" s="31" t="inlineStr">
        <is>
          <t>Comptoirs Océaniques</t>
        </is>
      </c>
      <c r="G5" s="31" t="inlineStr">
        <is>
          <t>7 rue Gustave Serruier, 76620 Le Havre</t>
        </is>
      </c>
      <c r="H5" s="31" t="inlineStr">
        <is>
          <t>Adeline Levasseur</t>
        </is>
      </c>
      <c r="I5" s="31" t="inlineStr">
        <is>
          <t>Directrice qualité</t>
        </is>
      </c>
      <c r="J5" s="31" t="inlineStr">
        <is>
          <t>Comptoir Océanique</t>
        </is>
      </c>
      <c r="K5" s="31" t="inlineStr">
        <is>
          <t>05/06/2026 12H</t>
        </is>
      </c>
      <c r="L5" s="31" t="inlineStr">
        <is>
          <t>10 Rue de Marengo</t>
        </is>
      </c>
      <c r="M5" s="31" t="inlineStr">
        <is>
          <t>Boulogne-sur-Mer</t>
        </is>
      </c>
      <c r="N5" s="31" t="inlineStr">
        <is>
          <t>glace</t>
        </is>
      </c>
      <c r="O5" s="31" t="inlineStr">
        <is>
          <t>05/06/2026 12H15</t>
        </is>
      </c>
      <c r="P5" s="31" t="inlineStr">
        <is>
          <t>4°C</t>
        </is>
      </c>
      <c r="Q5" s="31" t="inlineStr">
        <is>
          <t>05/06/2026 14h</t>
        </is>
      </c>
      <c r="R5" s="9" t="inlineStr">
        <is>
          <t>shin hyun</t>
        </is>
      </c>
      <c r="S5" s="9" t="inlineStr">
        <is>
          <t>100% thon</t>
        </is>
      </c>
      <c r="T5" s="34" t="n"/>
      <c r="U5" s="42" t="inlineStr">
        <is>
          <t>Thunnus albacares</t>
        </is>
      </c>
      <c r="V5" s="39" t="inlineStr">
        <is>
          <t>FAO 77</t>
        </is>
      </c>
      <c r="W5" s="9" t="inlineStr">
        <is>
          <t>Corée FAO77</t>
        </is>
      </c>
      <c r="X5" s="9" t="inlineStr">
        <is>
          <t>SH 2518</t>
        </is>
      </c>
      <c r="Y5" s="10" t="n">
        <v>46175</v>
      </c>
      <c r="Z5" s="11" t="n">
        <v>70954</v>
      </c>
      <c r="AA5" s="10" t="n">
        <v>46182</v>
      </c>
      <c r="AB5" t="n">
        <v>230426</v>
      </c>
      <c r="AC5" s="12" t="n">
        <v>0.753012048192771</v>
      </c>
      <c r="AD5" s="23">
        <f>1-AC5</f>
        <v/>
      </c>
      <c r="AE5" t="inlineStr">
        <is>
          <t>conforme(s) au(x) critère(s)</t>
        </is>
      </c>
      <c r="AF5" s="8" t="inlineStr">
        <is>
          <t>Extra</t>
        </is>
      </c>
    </row>
    <row r="6">
      <c r="A6" s="24" t="n"/>
      <c r="C6" s="43" t="n">
        <v>3</v>
      </c>
      <c r="D6" s="24" t="n">
        <v>46194</v>
      </c>
      <c r="E6" s="3" t="inlineStr">
        <is>
          <t>Thon frais naturel 3</t>
        </is>
      </c>
      <c r="F6" s="31" t="inlineStr">
        <is>
          <t>Comptoirs Océaniques</t>
        </is>
      </c>
      <c r="G6" s="31" t="inlineStr">
        <is>
          <t>7 rue Gustave Serruier, 76620 Le Havre</t>
        </is>
      </c>
      <c r="H6" s="31" t="inlineStr">
        <is>
          <t>Adeline Levasseur</t>
        </is>
      </c>
      <c r="I6" s="31" t="inlineStr">
        <is>
          <t>Directrice qualité</t>
        </is>
      </c>
      <c r="J6" s="31" t="inlineStr">
        <is>
          <t>Comptoir Océanique</t>
        </is>
      </c>
      <c r="K6" s="31" t="inlineStr">
        <is>
          <t>11/06/2026 12h</t>
        </is>
      </c>
      <c r="L6" s="31" t="inlineStr">
        <is>
          <t>10 Rue de Marengo</t>
        </is>
      </c>
      <c r="M6" s="31" t="inlineStr">
        <is>
          <t>Boulogne-sur-Mer</t>
        </is>
      </c>
      <c r="N6" s="31" t="inlineStr">
        <is>
          <t>glace</t>
        </is>
      </c>
      <c r="O6" s="31" t="inlineStr">
        <is>
          <t>11/06/2026 12h15</t>
        </is>
      </c>
      <c r="P6" s="31" t="inlineStr">
        <is>
          <t>4°C</t>
        </is>
      </c>
      <c r="Q6" s="31" t="inlineStr">
        <is>
          <t>11/06/2026 14h</t>
        </is>
      </c>
      <c r="R6" s="3" t="inlineStr">
        <is>
          <t>BPE</t>
        </is>
      </c>
      <c r="S6" s="3" t="inlineStr">
        <is>
          <t>100% thon</t>
        </is>
      </c>
      <c r="T6" s="33" t="inlineStr">
        <is>
          <t>1,77 kg</t>
        </is>
      </c>
      <c r="U6" s="42" t="inlineStr">
        <is>
          <t>Thunnus albacares</t>
        </is>
      </c>
      <c r="V6" s="38" t="inlineStr">
        <is>
          <t>FAO 34</t>
        </is>
      </c>
      <c r="W6" s="3" t="inlineStr">
        <is>
          <t>Cote d'ivoire FAO34</t>
        </is>
      </c>
      <c r="X6" s="3" t="inlineStr">
        <is>
          <t>ABP10A 153/ 26</t>
        </is>
      </c>
      <c r="Y6" s="5" t="n">
        <v>46179</v>
      </c>
      <c r="Z6" s="6" t="n"/>
      <c r="AA6" s="5" t="n">
        <v>46191</v>
      </c>
      <c r="AB6" t="n">
        <v>230426</v>
      </c>
      <c r="AC6" s="7" t="n">
        <v>0.5870010235414534</v>
      </c>
      <c r="AD6" s="23">
        <f>1-AC6</f>
        <v/>
      </c>
      <c r="AE6" t="inlineStr">
        <is>
          <t>conforme(s) au(x) critère(s)</t>
        </is>
      </c>
      <c r="AF6" s="8" t="inlineStr">
        <is>
          <t>A+</t>
        </is>
      </c>
    </row>
    <row r="7">
      <c r="A7" s="24" t="n"/>
      <c r="C7" s="43" t="n">
        <v>13</v>
      </c>
      <c r="D7" s="24" t="n">
        <v>46194</v>
      </c>
      <c r="E7" s="9" t="inlineStr">
        <is>
          <t xml:space="preserve"> Thon décongelé 13</t>
        </is>
      </c>
      <c r="F7" s="31" t="inlineStr">
        <is>
          <t>Comptoirs Océaniques</t>
        </is>
      </c>
      <c r="G7" s="31" t="inlineStr">
        <is>
          <t>7 rue Gustave Serruier, 76620 Le Havre</t>
        </is>
      </c>
      <c r="H7" s="31" t="inlineStr">
        <is>
          <t>Adeline Levasseur</t>
        </is>
      </c>
      <c r="I7" s="31" t="inlineStr">
        <is>
          <t>Directrice qualité</t>
        </is>
      </c>
      <c r="J7" s="31" t="inlineStr">
        <is>
          <t>Comptoir Océanique</t>
        </is>
      </c>
      <c r="K7" s="31" t="inlineStr">
        <is>
          <t>11/06/2026 12h</t>
        </is>
      </c>
      <c r="L7" s="31" t="inlineStr">
        <is>
          <t>10 Rue de Marengo</t>
        </is>
      </c>
      <c r="M7" s="31" t="inlineStr">
        <is>
          <t>Boulogne-sur-Mer</t>
        </is>
      </c>
      <c r="N7" s="31" t="inlineStr">
        <is>
          <t>glace</t>
        </is>
      </c>
      <c r="O7" s="31" t="inlineStr">
        <is>
          <t>11/06/2026 12h15</t>
        </is>
      </c>
      <c r="P7" s="31" t="inlineStr">
        <is>
          <t>4°C</t>
        </is>
      </c>
      <c r="Q7" s="31" t="inlineStr">
        <is>
          <t>11/06/2026 14h</t>
        </is>
      </c>
      <c r="R7" s="9" t="inlineStr">
        <is>
          <t>dongwon</t>
        </is>
      </c>
      <c r="S7" s="9" t="inlineStr">
        <is>
          <t>100% thon</t>
        </is>
      </c>
      <c r="T7" s="34" t="n"/>
      <c r="U7" s="42" t="inlineStr">
        <is>
          <t>Thunnus albacares</t>
        </is>
      </c>
      <c r="V7" s="39" t="inlineStr">
        <is>
          <t>FAO 71</t>
        </is>
      </c>
      <c r="W7" s="9" t="inlineStr">
        <is>
          <t>Corée FAO71</t>
        </is>
      </c>
      <c r="X7" s="9" t="inlineStr">
        <is>
          <t>DW 2526</t>
        </is>
      </c>
      <c r="Y7" s="13" t="n">
        <v>46182</v>
      </c>
      <c r="Z7" s="11" t="n">
        <v>70946</v>
      </c>
      <c r="AA7" s="13" t="n">
        <v>46189</v>
      </c>
      <c r="AB7" t="n">
        <v>230426</v>
      </c>
      <c r="AC7" s="12" t="n">
        <v>0.847633905356214</v>
      </c>
      <c r="AD7" s="23">
        <f>1-AC7</f>
        <v/>
      </c>
      <c r="AE7" t="inlineStr">
        <is>
          <t>conforme(s) au(x) critère(s)</t>
        </is>
      </c>
      <c r="AF7" s="8" t="inlineStr">
        <is>
          <t>Extra</t>
        </is>
      </c>
    </row>
    <row r="8">
      <c r="A8" s="24" t="n"/>
      <c r="C8" s="43" t="n">
        <v>4</v>
      </c>
      <c r="D8" s="24" t="n">
        <v>46194</v>
      </c>
      <c r="E8" s="3" t="inlineStr">
        <is>
          <t>Thon frais naturel 4</t>
        </is>
      </c>
      <c r="F8" s="31" t="inlineStr">
        <is>
          <t>Comptoirs Océaniques</t>
        </is>
      </c>
      <c r="G8" s="31" t="inlineStr">
        <is>
          <t>7 rue Gustave Serruier, 76620 Le Havre</t>
        </is>
      </c>
      <c r="H8" s="31" t="inlineStr">
        <is>
          <t>Adeline Levasseur</t>
        </is>
      </c>
      <c r="I8" s="31" t="inlineStr">
        <is>
          <t>Directrice qualité</t>
        </is>
      </c>
      <c r="J8" s="31" t="inlineStr">
        <is>
          <t>Comptoir Océanique</t>
        </is>
      </c>
      <c r="K8" s="31" t="inlineStr">
        <is>
          <t>12/06/2026 12H</t>
        </is>
      </c>
      <c r="L8" s="31" t="inlineStr">
        <is>
          <t>10 Rue de Marengo</t>
        </is>
      </c>
      <c r="M8" s="31" t="inlineStr">
        <is>
          <t>Boulogne-sur-Mer</t>
        </is>
      </c>
      <c r="N8" s="31" t="inlineStr">
        <is>
          <t>glace</t>
        </is>
      </c>
      <c r="O8" s="31" t="inlineStr">
        <is>
          <t>12/06/2026 12H15</t>
        </is>
      </c>
      <c r="P8" s="31" t="inlineStr">
        <is>
          <t>4°C</t>
        </is>
      </c>
      <c r="Q8" s="31" t="inlineStr">
        <is>
          <t>12/06/2026 14h</t>
        </is>
      </c>
      <c r="R8" s="3" t="inlineStr">
        <is>
          <t>BPE</t>
        </is>
      </c>
      <c r="S8" s="3" t="inlineStr">
        <is>
          <t>100% thon</t>
        </is>
      </c>
      <c r="T8" s="33" t="inlineStr">
        <is>
          <t>2,05 kg</t>
        </is>
      </c>
      <c r="U8" s="42" t="inlineStr">
        <is>
          <t>Thunnus albacares</t>
        </is>
      </c>
      <c r="V8" s="38" t="inlineStr">
        <is>
          <t>FAO 34</t>
        </is>
      </c>
      <c r="W8" s="3" t="inlineStr">
        <is>
          <t>Cote d'ivoire FAO34</t>
        </is>
      </c>
      <c r="X8" s="3" t="inlineStr">
        <is>
          <t>ABP10A 153/ 26</t>
        </is>
      </c>
      <c r="Y8" s="5" t="n">
        <v>46179</v>
      </c>
      <c r="Z8" s="6" t="n"/>
      <c r="AA8" s="5" t="n">
        <v>46191</v>
      </c>
      <c r="AB8" t="n">
        <v>230426</v>
      </c>
      <c r="AC8" s="7" t="n">
        <v>0.5605187319884726</v>
      </c>
      <c r="AD8" s="23">
        <f>1-AC8</f>
        <v/>
      </c>
      <c r="AE8" t="inlineStr">
        <is>
          <t>conforme(s) au(x) critère(s)</t>
        </is>
      </c>
      <c r="AF8" s="8" t="inlineStr">
        <is>
          <t>A+</t>
        </is>
      </c>
    </row>
    <row r="9">
      <c r="A9" s="24" t="n"/>
      <c r="C9" s="43" t="n">
        <v>14</v>
      </c>
      <c r="D9" s="24" t="n">
        <v>46194</v>
      </c>
      <c r="E9" s="9" t="inlineStr">
        <is>
          <t xml:space="preserve"> Thon décongelé 14</t>
        </is>
      </c>
      <c r="F9" s="31" t="inlineStr">
        <is>
          <t>Comptoirs Océaniques</t>
        </is>
      </c>
      <c r="G9" s="31" t="inlineStr">
        <is>
          <t>7 rue Gustave Serruier, 76620 Le Havre</t>
        </is>
      </c>
      <c r="H9" s="31" t="inlineStr">
        <is>
          <t>Adeline Levasseur</t>
        </is>
      </c>
      <c r="I9" s="31" t="inlineStr">
        <is>
          <t>Directrice qualité</t>
        </is>
      </c>
      <c r="J9" s="31" t="inlineStr">
        <is>
          <t>Comptoir Océanique</t>
        </is>
      </c>
      <c r="K9" s="31" t="inlineStr">
        <is>
          <t>12/06/2026 12H</t>
        </is>
      </c>
      <c r="L9" s="31" t="inlineStr">
        <is>
          <t>10 Rue de Marengo</t>
        </is>
      </c>
      <c r="M9" s="31" t="inlineStr">
        <is>
          <t>Boulogne-sur-Mer</t>
        </is>
      </c>
      <c r="N9" s="31" t="inlineStr">
        <is>
          <t>glace</t>
        </is>
      </c>
      <c r="O9" s="31" t="inlineStr">
        <is>
          <t>12/06/2026 12H15</t>
        </is>
      </c>
      <c r="P9" s="31" t="inlineStr">
        <is>
          <t>4°C</t>
        </is>
      </c>
      <c r="Q9" s="31" t="inlineStr">
        <is>
          <t>12/06/2026 14h</t>
        </is>
      </c>
      <c r="R9" s="9" t="inlineStr">
        <is>
          <t>shin hyun</t>
        </is>
      </c>
      <c r="S9" s="9" t="inlineStr">
        <is>
          <t>100% thon</t>
        </is>
      </c>
      <c r="T9" s="34" t="n"/>
      <c r="U9" s="42" t="inlineStr">
        <is>
          <t>Thunnus albacares</t>
        </is>
      </c>
      <c r="V9" s="39" t="inlineStr">
        <is>
          <t>FAO 71</t>
        </is>
      </c>
      <c r="W9" s="9" t="inlineStr">
        <is>
          <t>Corée FAO71</t>
        </is>
      </c>
      <c r="X9" s="9" t="inlineStr">
        <is>
          <t>SH 2601</t>
        </is>
      </c>
      <c r="Y9" s="13" t="n">
        <v>46183</v>
      </c>
      <c r="Z9" s="11" t="n">
        <v>72152.41</v>
      </c>
      <c r="AA9" s="13" t="n">
        <v>46190</v>
      </c>
      <c r="AB9" t="n">
        <v>230426</v>
      </c>
      <c r="AC9" s="12" t="n">
        <v>0.7625418060200669</v>
      </c>
      <c r="AD9" s="23">
        <f>1-AC9</f>
        <v/>
      </c>
      <c r="AE9" t="inlineStr">
        <is>
          <t>conforme(s) au(x) critère(s)</t>
        </is>
      </c>
      <c r="AF9" s="8" t="inlineStr">
        <is>
          <t>Extra+</t>
        </is>
      </c>
    </row>
    <row r="10" customFormat="1" s="25">
      <c r="A10" s="24" t="n"/>
      <c r="C10" s="44" t="n">
        <v>2</v>
      </c>
      <c r="D10" s="24" t="n">
        <v>46194</v>
      </c>
      <c r="E10" s="26" t="inlineStr">
        <is>
          <t>Longe de thon décongelé</t>
        </is>
      </c>
      <c r="F10" s="27" t="inlineStr">
        <is>
          <t>Comptoirs Océaniques</t>
        </is>
      </c>
      <c r="G10" s="27" t="inlineStr">
        <is>
          <t>7 rue Gustave Serruier, 76620 Le Havre</t>
        </is>
      </c>
      <c r="H10" s="27" t="inlineStr">
        <is>
          <t>Adeline Levasseur</t>
        </is>
      </c>
      <c r="I10" s="27" t="inlineStr">
        <is>
          <t>Directrice qualité</t>
        </is>
      </c>
      <c r="J10" s="27" t="inlineStr">
        <is>
          <t>Comptoir Océanique</t>
        </is>
      </c>
      <c r="K10" s="32" t="inlineStr">
        <is>
          <t>04/02/2026 12H</t>
        </is>
      </c>
      <c r="L10" s="27" t="inlineStr">
        <is>
          <t>10 Rue de Marengo</t>
        </is>
      </c>
      <c r="M10" s="27" t="inlineStr">
        <is>
          <t>Boulogne-sur-Mer</t>
        </is>
      </c>
      <c r="N10" s="27" t="inlineStr">
        <is>
          <t>glace</t>
        </is>
      </c>
      <c r="O10" s="32" t="inlineStr">
        <is>
          <t>04/02/2026 12H15</t>
        </is>
      </c>
      <c r="P10" s="31" t="inlineStr">
        <is>
          <t>4°C</t>
        </is>
      </c>
      <c r="Q10" s="32" t="inlineStr">
        <is>
          <t>04/02/2026 14h</t>
        </is>
      </c>
      <c r="R10" s="25" t="inlineStr">
        <is>
          <t>Golden Ocean</t>
        </is>
      </c>
      <c r="S10" s="3" t="n"/>
      <c r="T10" s="33" t="n"/>
      <c r="U10" s="42" t="inlineStr">
        <is>
          <t>Thunnus albacares</t>
        </is>
      </c>
      <c r="V10" s="38" t="n"/>
      <c r="W10" s="25" t="inlineStr">
        <is>
          <t>FAO 71</t>
        </is>
      </c>
      <c r="X10" s="3" t="n"/>
      <c r="Y10" s="26" t="n"/>
      <c r="Z10" s="25" t="inlineStr">
        <is>
          <t xml:space="preserve">MP  FAB 16200 </t>
        </is>
      </c>
      <c r="AA10" s="3" t="n"/>
      <c r="AB10" t="n">
        <v>230426</v>
      </c>
      <c r="AC10" s="7" t="n">
        <v>0.9169712793733681</v>
      </c>
      <c r="AD10" s="29">
        <f>1-AC10</f>
        <v/>
      </c>
      <c r="AE10" s="25" t="inlineStr">
        <is>
          <t>conforme(s) au(x) critère(s)</t>
        </is>
      </c>
      <c r="AF10" s="8" t="inlineStr">
        <is>
          <t>Sashimi</t>
        </is>
      </c>
    </row>
    <row r="11">
      <c r="A11" s="24" t="n"/>
      <c r="C11" s="43" t="n">
        <v>21</v>
      </c>
      <c r="D11" s="24" t="n">
        <v>46201</v>
      </c>
      <c r="E11" s="3" t="inlineStr">
        <is>
          <t>Thon frais saumuré 21</t>
        </is>
      </c>
      <c r="F11" s="31" t="inlineStr">
        <is>
          <t>Comptoirs Océaniques</t>
        </is>
      </c>
      <c r="G11" s="31" t="inlineStr">
        <is>
          <t>7 rue Gustave Serruier, 76620 Le Havre</t>
        </is>
      </c>
      <c r="H11" s="31" t="inlineStr">
        <is>
          <t>Adeline Levasseur</t>
        </is>
      </c>
      <c r="I11" s="31" t="inlineStr">
        <is>
          <t>Directrice qualité</t>
        </is>
      </c>
      <c r="J11" s="31" t="inlineStr">
        <is>
          <t>Comptoir Océanique</t>
        </is>
      </c>
      <c r="K11" s="31" t="inlineStr">
        <is>
          <t>17/06/2026 14h</t>
        </is>
      </c>
      <c r="L11" s="31" t="inlineStr">
        <is>
          <t>10 Rue de Marengo</t>
        </is>
      </c>
      <c r="M11" s="31" t="inlineStr">
        <is>
          <t>Boulogne-sur-Mer</t>
        </is>
      </c>
      <c r="N11" s="31" t="inlineStr">
        <is>
          <t>glace</t>
        </is>
      </c>
      <c r="O11" s="31" t="inlineStr">
        <is>
          <t>17/06/2026 14h15</t>
        </is>
      </c>
      <c r="P11" s="31" t="inlineStr">
        <is>
          <t>4°C</t>
        </is>
      </c>
      <c r="Q11" s="31" t="inlineStr">
        <is>
          <t>17/06/2026 16h</t>
        </is>
      </c>
      <c r="R11" s="3" t="inlineStr">
        <is>
          <t>barba</t>
        </is>
      </c>
      <c r="S11" s="3" t="inlineStr">
        <is>
          <t>thon albacore 85%</t>
        </is>
      </c>
      <c r="T11" s="33" t="n"/>
      <c r="U11" s="42" t="inlineStr">
        <is>
          <t>Thunnus albacares</t>
        </is>
      </c>
      <c r="V11" s="38" t="inlineStr">
        <is>
          <t>FAO34</t>
        </is>
      </c>
      <c r="W11" s="3" t="inlineStr">
        <is>
          <t>transformé en France</t>
        </is>
      </c>
      <c r="X11" s="3" t="n"/>
      <c r="Y11" s="3" t="n"/>
      <c r="Z11" s="3" t="n"/>
      <c r="AA11" s="3" t="n"/>
      <c r="AB11" s="25" t="n">
        <v>100626</v>
      </c>
      <c r="AC11" s="28" t="n">
        <v>0.6651352730985197</v>
      </c>
      <c r="AD11" s="23">
        <f>1-AC11</f>
        <v/>
      </c>
      <c r="AE11" t="inlineStr">
        <is>
          <t>conforme(s) au(x) critère(s)</t>
        </is>
      </c>
      <c r="AF11" s="30" t="inlineStr">
        <is>
          <t>Extra</t>
        </is>
      </c>
    </row>
    <row r="12">
      <c r="A12" s="24" t="n"/>
      <c r="C12" s="43" t="n">
        <v>22</v>
      </c>
      <c r="D12" s="24" t="n">
        <v>46201</v>
      </c>
      <c r="E12" s="3" t="inlineStr">
        <is>
          <t>Thon frais saumuré 22</t>
        </is>
      </c>
      <c r="F12" s="31" t="inlineStr">
        <is>
          <t>Comptoirs Océaniques</t>
        </is>
      </c>
      <c r="G12" s="31" t="inlineStr">
        <is>
          <t>7 rue Gustave Serruier, 76620 Le Havre</t>
        </is>
      </c>
      <c r="H12" s="31" t="inlineStr">
        <is>
          <t>Adeline Levasseur</t>
        </is>
      </c>
      <c r="I12" s="31" t="inlineStr">
        <is>
          <t>Directrice qualité</t>
        </is>
      </c>
      <c r="J12" s="31" t="inlineStr">
        <is>
          <t>Comptoir Océanique</t>
        </is>
      </c>
      <c r="K12" s="31" t="inlineStr">
        <is>
          <t>17/06/2026 14h</t>
        </is>
      </c>
      <c r="L12" s="31" t="inlineStr">
        <is>
          <t>10 Rue de Marengo</t>
        </is>
      </c>
      <c r="M12" s="31" t="inlineStr">
        <is>
          <t>Boulogne-sur-Mer</t>
        </is>
      </c>
      <c r="N12" s="31" t="inlineStr">
        <is>
          <t>glace</t>
        </is>
      </c>
      <c r="O12" s="31" t="inlineStr">
        <is>
          <t>17/06/2026 14h15</t>
        </is>
      </c>
      <c r="P12" s="31" t="inlineStr">
        <is>
          <t>4°C</t>
        </is>
      </c>
      <c r="Q12" s="31" t="inlineStr">
        <is>
          <t>17/06/2026 16h</t>
        </is>
      </c>
      <c r="R12" s="3" t="inlineStr">
        <is>
          <t>barba</t>
        </is>
      </c>
      <c r="S12" s="3" t="inlineStr">
        <is>
          <t>thon albacore 85%</t>
        </is>
      </c>
      <c r="T12" s="35" t="n"/>
      <c r="U12" s="42" t="inlineStr">
        <is>
          <t>Thunnus albacares</t>
        </is>
      </c>
      <c r="V12" s="38" t="n"/>
      <c r="W12" s="3" t="inlineStr">
        <is>
          <t>transformé en France</t>
        </is>
      </c>
      <c r="X12" s="16" t="n"/>
      <c r="Y12" s="16" t="n"/>
      <c r="Z12" s="3" t="n"/>
      <c r="AA12" s="16" t="n"/>
      <c r="AB12" t="n">
        <v>100626</v>
      </c>
      <c r="AC12" s="14" t="n">
        <v>0.5614489003880982</v>
      </c>
      <c r="AD12" s="23">
        <f>1-AC12</f>
        <v/>
      </c>
      <c r="AE12" t="inlineStr">
        <is>
          <t>conforme(s) au(x) critère(s)</t>
        </is>
      </c>
      <c r="AF12" s="15" t="inlineStr">
        <is>
          <t>A+</t>
        </is>
      </c>
    </row>
    <row r="13">
      <c r="A13" s="24" t="n"/>
      <c r="C13" s="43" t="n">
        <v>15</v>
      </c>
      <c r="D13" s="24" t="n">
        <v>46201</v>
      </c>
      <c r="E13" s="18" t="inlineStr">
        <is>
          <t>Thon  décongelé 15</t>
        </is>
      </c>
      <c r="F13" s="31" t="inlineStr">
        <is>
          <t>Comptoirs Océaniques</t>
        </is>
      </c>
      <c r="G13" s="31" t="inlineStr">
        <is>
          <t>7 rue Gustave Serruier, 76620 Le Havre</t>
        </is>
      </c>
      <c r="H13" s="31" t="inlineStr">
        <is>
          <t>Adeline Levasseur</t>
        </is>
      </c>
      <c r="I13" s="31" t="inlineStr">
        <is>
          <t>Directrice qualité</t>
        </is>
      </c>
      <c r="J13" s="31" t="inlineStr">
        <is>
          <t>Comptoir Océanique</t>
        </is>
      </c>
      <c r="K13" s="31" t="inlineStr">
        <is>
          <t>17/06/2026 14h</t>
        </is>
      </c>
      <c r="L13" s="31" t="inlineStr">
        <is>
          <t>10 Rue de Marengo</t>
        </is>
      </c>
      <c r="M13" s="31" t="inlineStr">
        <is>
          <t>Boulogne-sur-Mer</t>
        </is>
      </c>
      <c r="N13" s="31" t="inlineStr">
        <is>
          <t>glace</t>
        </is>
      </c>
      <c r="O13" s="31" t="inlineStr">
        <is>
          <t>17/06/2026 14h15</t>
        </is>
      </c>
      <c r="P13" s="31" t="inlineStr">
        <is>
          <t>4°C</t>
        </is>
      </c>
      <c r="Q13" s="31" t="inlineStr">
        <is>
          <t>17/06/2026 16h</t>
        </is>
      </c>
      <c r="R13" s="18" t="inlineStr">
        <is>
          <t>dongwon</t>
        </is>
      </c>
      <c r="S13" s="18" t="inlineStr">
        <is>
          <t>100% thon</t>
        </is>
      </c>
      <c r="T13" s="36" t="n"/>
      <c r="U13" s="42" t="inlineStr">
        <is>
          <t>Thunnus albacares</t>
        </is>
      </c>
      <c r="V13" s="40" t="inlineStr">
        <is>
          <t>FAO 51</t>
        </is>
      </c>
      <c r="W13" s="18" t="inlineStr">
        <is>
          <t>Corée FAO51</t>
        </is>
      </c>
      <c r="X13" s="18" t="inlineStr">
        <is>
          <t>DW 2522</t>
        </is>
      </c>
      <c r="Y13" s="19" t="n">
        <v>46188</v>
      </c>
      <c r="Z13" s="17" t="n">
        <v>72751</v>
      </c>
      <c r="AA13" s="19" t="n">
        <v>46195</v>
      </c>
      <c r="AB13" t="n">
        <v>100626</v>
      </c>
      <c r="AC13" s="20" t="n">
        <v>0.8328189300411523</v>
      </c>
      <c r="AD13" s="23">
        <f>1-AC13</f>
        <v/>
      </c>
      <c r="AE13" t="inlineStr">
        <is>
          <t>conforme(s) au(x) critère(s)</t>
        </is>
      </c>
      <c r="AF13" s="16" t="inlineStr">
        <is>
          <t>Extra</t>
        </is>
      </c>
    </row>
    <row r="14">
      <c r="A14" s="24" t="n"/>
      <c r="C14" s="43" t="n">
        <v>16</v>
      </c>
      <c r="D14" s="24" t="n">
        <v>46201</v>
      </c>
      <c r="E14" s="3" t="inlineStr">
        <is>
          <t xml:space="preserve"> Thon décongelé 16</t>
        </is>
      </c>
      <c r="F14" s="31" t="inlineStr">
        <is>
          <t>Comptoirs Océaniques</t>
        </is>
      </c>
      <c r="G14" s="31" t="inlineStr">
        <is>
          <t>7 rue Gustave Serruier, 76620 Le Havre</t>
        </is>
      </c>
      <c r="H14" s="31" t="inlineStr">
        <is>
          <t>Adeline Levasseur</t>
        </is>
      </c>
      <c r="I14" s="31" t="inlineStr">
        <is>
          <t>Directrice qualité</t>
        </is>
      </c>
      <c r="J14" s="31" t="inlineStr">
        <is>
          <t>Comptoir Océanique</t>
        </is>
      </c>
      <c r="K14" s="31" t="inlineStr">
        <is>
          <t>18/06/2026 12H</t>
        </is>
      </c>
      <c r="L14" s="31" t="inlineStr">
        <is>
          <t>10 Rue de Marengo</t>
        </is>
      </c>
      <c r="M14" s="31" t="inlineStr">
        <is>
          <t>Boulogne-sur-Mer</t>
        </is>
      </c>
      <c r="N14" s="31" t="inlineStr">
        <is>
          <t>glace</t>
        </is>
      </c>
      <c r="O14" s="31" t="inlineStr">
        <is>
          <t>18/06/2026 12H15</t>
        </is>
      </c>
      <c r="P14" s="31" t="inlineStr">
        <is>
          <t>4°C</t>
        </is>
      </c>
      <c r="Q14" s="31" t="inlineStr">
        <is>
          <t>18/06/2026 14h</t>
        </is>
      </c>
      <c r="R14" s="3" t="inlineStr">
        <is>
          <t>dongwon</t>
        </is>
      </c>
      <c r="S14" s="3" t="inlineStr">
        <is>
          <t>100% thon</t>
        </is>
      </c>
      <c r="T14" s="37" t="n"/>
      <c r="U14" s="42" t="inlineStr">
        <is>
          <t>Thunnus albacares</t>
        </is>
      </c>
      <c r="V14" s="38" t="inlineStr">
        <is>
          <t>FAO 51</t>
        </is>
      </c>
      <c r="W14" s="18" t="inlineStr">
        <is>
          <t>Corée FAO51</t>
        </is>
      </c>
      <c r="X14" s="3" t="inlineStr">
        <is>
          <t>DW 2522</t>
        </is>
      </c>
      <c r="Y14" s="4" t="n">
        <v>46188</v>
      </c>
      <c r="Z14" s="2" t="n">
        <v>72751</v>
      </c>
      <c r="AA14" s="4" t="n">
        <v>46195</v>
      </c>
      <c r="AB14" t="n">
        <v>100626</v>
      </c>
      <c r="AC14" s="20" t="n">
        <v>0.8168498168498168</v>
      </c>
      <c r="AD14" s="23">
        <f>1-AC14</f>
        <v/>
      </c>
      <c r="AE14" t="inlineStr">
        <is>
          <t>conforme(s) au(x) critère(s)</t>
        </is>
      </c>
      <c r="AF14" s="16" t="inlineStr">
        <is>
          <t>Extra</t>
        </is>
      </c>
    </row>
    <row r="15">
      <c r="A15" s="24" t="n"/>
      <c r="C15" s="43" t="n">
        <v>5</v>
      </c>
      <c r="D15" s="24" t="n">
        <v>46201</v>
      </c>
      <c r="E15" s="3" t="inlineStr">
        <is>
          <t>Thon frais naturel 5</t>
        </is>
      </c>
      <c r="F15" s="31" t="inlineStr">
        <is>
          <t>Comptoirs Océaniques</t>
        </is>
      </c>
      <c r="G15" s="31" t="inlineStr">
        <is>
          <t>7 rue Gustave Serruier, 76620 Le Havre</t>
        </is>
      </c>
      <c r="H15" s="31" t="inlineStr">
        <is>
          <t>Adeline Levasseur</t>
        </is>
      </c>
      <c r="I15" s="31" t="inlineStr">
        <is>
          <t>Directrice qualité</t>
        </is>
      </c>
      <c r="J15" s="31" t="inlineStr">
        <is>
          <t>Comptoir Océanique</t>
        </is>
      </c>
      <c r="K15" s="31" t="inlineStr">
        <is>
          <t>25/06/26 16H</t>
        </is>
      </c>
      <c r="L15" s="31" t="inlineStr">
        <is>
          <t>10 Rue de Marengo</t>
        </is>
      </c>
      <c r="M15" s="31" t="inlineStr">
        <is>
          <t>Boulogne-sur-Mer</t>
        </is>
      </c>
      <c r="N15" s="31" t="inlineStr">
        <is>
          <t>glace</t>
        </is>
      </c>
      <c r="O15" s="31" t="inlineStr">
        <is>
          <t>25/06/26 16H15</t>
        </is>
      </c>
      <c r="P15" s="31" t="inlineStr">
        <is>
          <t>4°C</t>
        </is>
      </c>
      <c r="Q15" s="31" t="inlineStr">
        <is>
          <t>25/06/26 17h</t>
        </is>
      </c>
      <c r="R15" s="3" t="inlineStr">
        <is>
          <t>Global sea food</t>
        </is>
      </c>
      <c r="S15" s="3" t="inlineStr">
        <is>
          <t xml:space="preserve">100% thon </t>
        </is>
      </c>
      <c r="T15" s="33" t="inlineStr">
        <is>
          <t>1,18kg</t>
        </is>
      </c>
      <c r="U15" s="42" t="inlineStr">
        <is>
          <t>Thunnus albacares</t>
        </is>
      </c>
      <c r="V15" s="38" t="inlineStr">
        <is>
          <t>FAO 57</t>
        </is>
      </c>
      <c r="W15" s="3" t="inlineStr">
        <is>
          <t>Sri Lanka FAO57</t>
        </is>
      </c>
      <c r="X15" s="22" t="n">
        <v>20062026</v>
      </c>
      <c r="Y15" s="5" t="n">
        <v>46193</v>
      </c>
      <c r="Z15" s="21" t="n"/>
      <c r="AA15" s="5" t="n">
        <v>46204</v>
      </c>
      <c r="AB15" t="n">
        <v>100626</v>
      </c>
      <c r="AC15" s="7" t="n">
        <v>0.4529995276334436</v>
      </c>
      <c r="AD15" s="23">
        <f>1-AC15</f>
        <v/>
      </c>
      <c r="AE15" t="inlineStr">
        <is>
          <t>conforme(s) au(x) critère(s)</t>
        </is>
      </c>
      <c r="AF15" s="8" t="inlineStr">
        <is>
          <t>A</t>
        </is>
      </c>
    </row>
    <row r="16">
      <c r="A16" s="24" t="n"/>
      <c r="C16" s="43" t="n">
        <v>7</v>
      </c>
      <c r="D16" s="24" t="n">
        <v>46201</v>
      </c>
      <c r="E16" s="3" t="inlineStr">
        <is>
          <t>frais naturel 7</t>
        </is>
      </c>
      <c r="F16" s="31" t="inlineStr">
        <is>
          <t>Comptoirs Océaniques</t>
        </is>
      </c>
      <c r="G16" s="31" t="inlineStr">
        <is>
          <t>7 rue Gustave Serruier, 76620 Le Havre</t>
        </is>
      </c>
      <c r="H16" s="31" t="inlineStr">
        <is>
          <t>Adeline Levasseur</t>
        </is>
      </c>
      <c r="I16" s="31" t="inlineStr">
        <is>
          <t>Directrice qualité</t>
        </is>
      </c>
      <c r="J16" s="31" t="inlineStr">
        <is>
          <t>Comptoir Océanique</t>
        </is>
      </c>
      <c r="K16" s="31" t="inlineStr">
        <is>
          <t>25/06/26 16H</t>
        </is>
      </c>
      <c r="L16" s="31" t="inlineStr">
        <is>
          <t>10 Rue de Marengo</t>
        </is>
      </c>
      <c r="M16" s="31" t="inlineStr">
        <is>
          <t>Boulogne-sur-Mer</t>
        </is>
      </c>
      <c r="N16" s="31" t="inlineStr">
        <is>
          <t>glace</t>
        </is>
      </c>
      <c r="O16" s="31" t="inlineStr">
        <is>
          <t>25/06/26 16H15</t>
        </is>
      </c>
      <c r="P16" s="31" t="inlineStr">
        <is>
          <t>4°C</t>
        </is>
      </c>
      <c r="Q16" s="31" t="inlineStr">
        <is>
          <t>25/06/26 17h</t>
        </is>
      </c>
      <c r="R16" s="3" t="inlineStr">
        <is>
          <t>Marlu</t>
        </is>
      </c>
      <c r="S16" s="3" t="inlineStr">
        <is>
          <t xml:space="preserve">100% thon </t>
        </is>
      </c>
      <c r="T16" s="33" t="inlineStr">
        <is>
          <t>2,29kg</t>
        </is>
      </c>
      <c r="U16" s="42" t="inlineStr">
        <is>
          <t>Thunnus albacares</t>
        </is>
      </c>
      <c r="V16" s="38" t="inlineStr">
        <is>
          <t>FAO 51</t>
        </is>
      </c>
      <c r="W16" s="3" t="inlineStr">
        <is>
          <t>Seychelles FAO51</t>
        </is>
      </c>
      <c r="X16" s="3" t="inlineStr">
        <is>
          <t>R369</t>
        </is>
      </c>
      <c r="Y16" s="5" t="n">
        <v>46193</v>
      </c>
      <c r="Z16" s="21" t="n"/>
      <c r="AA16" s="5" t="n">
        <v>46206</v>
      </c>
      <c r="AB16" t="n">
        <v>100626</v>
      </c>
      <c r="AC16" s="7" t="n">
        <v>0.6652215799614645</v>
      </c>
      <c r="AD16" s="23">
        <f>1-AC16</f>
        <v/>
      </c>
      <c r="AE16" t="inlineStr">
        <is>
          <t>conforme(s) au(x) critère(s)</t>
        </is>
      </c>
      <c r="AF16" s="8" t="inlineStr">
        <is>
          <t>Extra</t>
        </is>
      </c>
    </row>
    <row r="17">
      <c r="A17" s="24" t="n"/>
      <c r="C17" s="43" t="n">
        <v>17</v>
      </c>
      <c r="D17" s="24" t="n">
        <v>46201</v>
      </c>
      <c r="E17" s="3" t="inlineStr">
        <is>
          <t>Thon décongelé 17</t>
        </is>
      </c>
      <c r="F17" s="31" t="inlineStr">
        <is>
          <t>Comptoirs Océaniques</t>
        </is>
      </c>
      <c r="G17" s="31" t="inlineStr">
        <is>
          <t>7 rue Gustave Serruier, 76620 Le Havre</t>
        </is>
      </c>
      <c r="H17" s="31" t="inlineStr">
        <is>
          <t>Adeline Levasseur</t>
        </is>
      </c>
      <c r="I17" s="31" t="inlineStr">
        <is>
          <t>Directrice qualité</t>
        </is>
      </c>
      <c r="J17" s="31" t="inlineStr">
        <is>
          <t>Comptoir Océanique</t>
        </is>
      </c>
      <c r="K17" s="31" t="inlineStr">
        <is>
          <t>25/06/26 16H</t>
        </is>
      </c>
      <c r="L17" s="31" t="inlineStr">
        <is>
          <t>10 Rue de Marengo</t>
        </is>
      </c>
      <c r="M17" s="31" t="inlineStr">
        <is>
          <t>Boulogne-sur-Mer</t>
        </is>
      </c>
      <c r="N17" s="31" t="inlineStr">
        <is>
          <t>glace</t>
        </is>
      </c>
      <c r="O17" s="31" t="inlineStr">
        <is>
          <t>25/06/26 16H15</t>
        </is>
      </c>
      <c r="P17" s="31" t="inlineStr">
        <is>
          <t>4°C</t>
        </is>
      </c>
      <c r="Q17" s="31" t="inlineStr">
        <is>
          <t>25/06/26 17h</t>
        </is>
      </c>
      <c r="R17" s="3" t="inlineStr">
        <is>
          <t xml:space="preserve">golden ocean </t>
        </is>
      </c>
      <c r="S17" s="3" t="inlineStr">
        <is>
          <t xml:space="preserve">100% thon </t>
        </is>
      </c>
      <c r="T17" s="37" t="n"/>
      <c r="U17" s="42" t="inlineStr">
        <is>
          <t>Thunnus albacares</t>
        </is>
      </c>
      <c r="V17" s="38" t="inlineStr">
        <is>
          <t>FAO 71</t>
        </is>
      </c>
      <c r="W17" s="3" t="inlineStr">
        <is>
          <t>Fidji FAO71</t>
        </is>
      </c>
      <c r="X17" s="3" t="inlineStr">
        <is>
          <t>EU 285 FAB 16203</t>
        </is>
      </c>
      <c r="Y17" s="4" t="n">
        <v>46195</v>
      </c>
      <c r="Z17" s="2" t="n">
        <v>70943</v>
      </c>
      <c r="AA17" s="4" t="n">
        <v>46202</v>
      </c>
      <c r="AB17" t="n">
        <v>100626</v>
      </c>
      <c r="AC17" s="7" t="n">
        <v>0.7181528662420382</v>
      </c>
      <c r="AD17" s="23">
        <f>1-AC17</f>
        <v/>
      </c>
      <c r="AE17" t="inlineStr">
        <is>
          <t>conforme(s) au(x) critère(s)</t>
        </is>
      </c>
      <c r="AF17" s="8" t="inlineStr">
        <is>
          <t>Extra</t>
        </is>
      </c>
    </row>
    <row r="18">
      <c r="A18" s="24" t="n"/>
      <c r="C18" s="43" t="n">
        <v>6</v>
      </c>
      <c r="D18" s="24" t="n">
        <v>46201</v>
      </c>
      <c r="E18" s="3" t="inlineStr">
        <is>
          <t>Thon frais naturel 6</t>
        </is>
      </c>
      <c r="F18" s="31" t="inlineStr">
        <is>
          <t>Comptoirs Océaniques</t>
        </is>
      </c>
      <c r="G18" s="31" t="inlineStr">
        <is>
          <t>7 rue Gustave Serruier, 76620 Le Havre</t>
        </is>
      </c>
      <c r="H18" s="31" t="inlineStr">
        <is>
          <t>Adeline Levasseur</t>
        </is>
      </c>
      <c r="I18" s="31" t="inlineStr">
        <is>
          <t>Directrice qualité</t>
        </is>
      </c>
      <c r="J18" s="31" t="inlineStr">
        <is>
          <t>Comptoir Océanique</t>
        </is>
      </c>
      <c r="K18" s="31" t="inlineStr">
        <is>
          <t>26/06/26 14H</t>
        </is>
      </c>
      <c r="L18" s="31" t="inlineStr">
        <is>
          <t>10 Rue de Marengo</t>
        </is>
      </c>
      <c r="M18" s="31" t="inlineStr">
        <is>
          <t>Boulogne-sur-Mer</t>
        </is>
      </c>
      <c r="N18" s="31" t="inlineStr">
        <is>
          <t>glace</t>
        </is>
      </c>
      <c r="O18" s="31" t="inlineStr">
        <is>
          <t>26/06/26 14H15</t>
        </is>
      </c>
      <c r="P18" s="31" t="inlineStr">
        <is>
          <t>4°C</t>
        </is>
      </c>
      <c r="Q18" s="31" t="inlineStr">
        <is>
          <t>26/06/26 15h</t>
        </is>
      </c>
      <c r="R18" s="3" t="inlineStr">
        <is>
          <t>Global sea food</t>
        </is>
      </c>
      <c r="S18" s="3" t="inlineStr">
        <is>
          <t xml:space="preserve">100% thon </t>
        </is>
      </c>
      <c r="T18" s="37" t="inlineStr">
        <is>
          <t>1,19kg</t>
        </is>
      </c>
      <c r="U18" s="42" t="inlineStr">
        <is>
          <t>Thunnus albacares</t>
        </is>
      </c>
      <c r="V18" s="38" t="inlineStr">
        <is>
          <t>FAO 57</t>
        </is>
      </c>
      <c r="W18" s="3" t="inlineStr">
        <is>
          <t>Sri Lanka FAO57</t>
        </is>
      </c>
      <c r="X18" s="3" t="n">
        <v>20062026</v>
      </c>
      <c r="Y18" s="4" t="n">
        <v>46193</v>
      </c>
      <c r="Z18" s="2" t="n"/>
      <c r="AA18" s="4" t="n">
        <v>46204</v>
      </c>
      <c r="AB18" t="n">
        <v>2606026</v>
      </c>
      <c r="AC18" s="14" t="n">
        <v>0.5032608695652175</v>
      </c>
      <c r="AD18" s="23">
        <f>1-AC18</f>
        <v/>
      </c>
      <c r="AE18" t="inlineStr">
        <is>
          <t>conforme(s) au(x) critère(s)</t>
        </is>
      </c>
      <c r="AF18" s="16" t="inlineStr">
        <is>
          <t>A</t>
        </is>
      </c>
    </row>
    <row r="19">
      <c r="A19" s="24" t="n"/>
      <c r="C19" s="43" t="n">
        <v>8</v>
      </c>
      <c r="D19" s="24" t="n">
        <v>46201</v>
      </c>
      <c r="E19" s="3" t="inlineStr">
        <is>
          <t>Thon frais naturel 8</t>
        </is>
      </c>
      <c r="F19" s="31" t="inlineStr">
        <is>
          <t>Comptoirs Océaniques</t>
        </is>
      </c>
      <c r="G19" s="31" t="inlineStr">
        <is>
          <t>7 rue Gustave Serruier, 76620 Le Havre</t>
        </is>
      </c>
      <c r="H19" s="31" t="inlineStr">
        <is>
          <t>Adeline Levasseur</t>
        </is>
      </c>
      <c r="I19" s="31" t="inlineStr">
        <is>
          <t>Directrice qualité</t>
        </is>
      </c>
      <c r="J19" s="31" t="inlineStr">
        <is>
          <t>Comptoir Océanique</t>
        </is>
      </c>
      <c r="K19" s="31" t="inlineStr">
        <is>
          <t>26/06/26 14H</t>
        </is>
      </c>
      <c r="L19" s="31" t="inlineStr">
        <is>
          <t>10 Rue de Marengo</t>
        </is>
      </c>
      <c r="M19" s="31" t="inlineStr">
        <is>
          <t>Boulogne-sur-Mer</t>
        </is>
      </c>
      <c r="N19" s="31" t="inlineStr">
        <is>
          <t>glace</t>
        </is>
      </c>
      <c r="O19" s="31" t="inlineStr">
        <is>
          <t>26/06/26 14H15</t>
        </is>
      </c>
      <c r="P19" s="31" t="inlineStr">
        <is>
          <t>4°C</t>
        </is>
      </c>
      <c r="Q19" s="31" t="inlineStr">
        <is>
          <t>26/06/26 15h</t>
        </is>
      </c>
      <c r="R19" s="3" t="inlineStr">
        <is>
          <t>Marlu</t>
        </is>
      </c>
      <c r="S19" s="3" t="inlineStr">
        <is>
          <t xml:space="preserve">100% thon </t>
        </is>
      </c>
      <c r="T19" s="37" t="inlineStr">
        <is>
          <t>2,58kg</t>
        </is>
      </c>
      <c r="U19" s="42" t="inlineStr">
        <is>
          <t>Thunnus albacares</t>
        </is>
      </c>
      <c r="V19" s="38" t="inlineStr">
        <is>
          <t>FAO 51</t>
        </is>
      </c>
      <c r="W19" s="3" t="inlineStr">
        <is>
          <t>Seychelles FAO51</t>
        </is>
      </c>
      <c r="X19" s="3" t="inlineStr">
        <is>
          <t>R369</t>
        </is>
      </c>
      <c r="Y19" s="4" t="n">
        <v>46193</v>
      </c>
      <c r="Z19" s="2" t="n"/>
      <c r="AA19" s="4" t="n">
        <v>46206</v>
      </c>
      <c r="AB19" t="n">
        <v>2606026</v>
      </c>
      <c r="AC19" s="14" t="n">
        <v>0.4643192488262909</v>
      </c>
      <c r="AD19" s="23">
        <f>1-AC19</f>
        <v/>
      </c>
      <c r="AE19" t="inlineStr">
        <is>
          <t>conforme(s) au(x) critère(s)</t>
        </is>
      </c>
      <c r="AF19" s="16" t="inlineStr">
        <is>
          <t>A</t>
        </is>
      </c>
    </row>
    <row r="20">
      <c r="C20" s="43" t="n">
        <v>18</v>
      </c>
      <c r="D20" s="24" t="n">
        <v>46201</v>
      </c>
      <c r="E20" s="3" t="inlineStr">
        <is>
          <t>Thon décongelé 18</t>
        </is>
      </c>
      <c r="F20" s="31" t="inlineStr">
        <is>
          <t>Comptoirs Océaniques</t>
        </is>
      </c>
      <c r="G20" s="31" t="inlineStr">
        <is>
          <t>7 rue Gustave Serruier, 76620 Le Havre</t>
        </is>
      </c>
      <c r="H20" s="31" t="inlineStr">
        <is>
          <t>Adeline Levasseur</t>
        </is>
      </c>
      <c r="I20" s="31" t="inlineStr">
        <is>
          <t>Directrice qualité</t>
        </is>
      </c>
      <c r="J20" s="31" t="inlineStr">
        <is>
          <t>Comptoir Océanique</t>
        </is>
      </c>
      <c r="K20" s="31" t="inlineStr">
        <is>
          <t>26/06/26 14H</t>
        </is>
      </c>
      <c r="L20" s="31" t="inlineStr">
        <is>
          <t>10 Rue de Marengo</t>
        </is>
      </c>
      <c r="M20" s="31" t="inlineStr">
        <is>
          <t>Boulogne-sur-Mer</t>
        </is>
      </c>
      <c r="N20" s="31" t="inlineStr">
        <is>
          <t>glace</t>
        </is>
      </c>
      <c r="O20" s="31" t="inlineStr">
        <is>
          <t>26/06/26 14H15</t>
        </is>
      </c>
      <c r="P20" s="31" t="inlineStr">
        <is>
          <t>4°C</t>
        </is>
      </c>
      <c r="Q20" s="31" t="inlineStr">
        <is>
          <t>26/06/26 15h</t>
        </is>
      </c>
      <c r="R20" s="3" t="inlineStr">
        <is>
          <t xml:space="preserve">golden ocean </t>
        </is>
      </c>
      <c r="S20" s="3" t="inlineStr">
        <is>
          <t xml:space="preserve">100% thon </t>
        </is>
      </c>
      <c r="T20" s="37" t="n"/>
      <c r="U20" s="42" t="inlineStr">
        <is>
          <t>Thunnus albacares</t>
        </is>
      </c>
      <c r="V20" s="38" t="inlineStr">
        <is>
          <t>FAO 71</t>
        </is>
      </c>
      <c r="W20" s="3" t="inlineStr">
        <is>
          <t>Fidji FAO71</t>
        </is>
      </c>
      <c r="X20" s="3" t="inlineStr">
        <is>
          <t>EU 285 FAB 16203</t>
        </is>
      </c>
      <c r="Y20" s="4" t="n">
        <v>46195</v>
      </c>
      <c r="Z20" s="2" t="n">
        <v>70943</v>
      </c>
      <c r="AA20" s="4" t="n">
        <v>46202</v>
      </c>
      <c r="AB20" t="n">
        <v>2606026</v>
      </c>
      <c r="AC20" s="14" t="n">
        <v>0.7288971041281578</v>
      </c>
      <c r="AD20" s="23">
        <f>1-AC20</f>
        <v/>
      </c>
      <c r="AE20" t="inlineStr">
        <is>
          <t>conforme(s) au(x) critère(s)</t>
        </is>
      </c>
      <c r="AF20" s="16" t="inlineStr">
        <is>
          <t>Extra</t>
        </is>
      </c>
      <c r="AG20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Balak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2026-06-29T16:03:39Z</dcterms:modified>
  <cp:lastModifiedBy>Alex Balak</cp:lastModifiedBy>
</cp:coreProperties>
</file>